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10"/>
  <workbookPr codeName="ThisWorkbook" defaultThemeVersion="166925"/>
  <mc:AlternateContent xmlns:mc="http://schemas.openxmlformats.org/markup-compatibility/2006">
    <mc:Choice Requires="x15">
      <x15ac:absPath xmlns:x15ac="http://schemas.microsoft.com/office/spreadsheetml/2010/11/ac" url="C:\Users\Administrator\Desktop\"/>
    </mc:Choice>
  </mc:AlternateContent>
  <xr:revisionPtr revIDLastSave="0" documentId="13_ncr:1_{357E9450-50C7-4D57-AC0E-9E8748CF7A02}" xr6:coauthVersionLast="47" xr6:coauthVersionMax="47" xr10:uidLastSave="{00000000-0000-0000-0000-000000000000}"/>
  <bookViews>
    <workbookView xWindow="-120" yWindow="-120" windowWidth="20730" windowHeight="11040" xr2:uid="{89B10086-5406-45EB-B058-BD6772741845}"/>
  </bookViews>
  <sheets>
    <sheet name="summaries" sheetId="5" r:id="rId1"/>
    <sheet name="Burkina" sheetId="1" r:id="rId2"/>
    <sheet name="Mozambique" sheetId="3" r:id="rId3"/>
    <sheet name="Nigeria" sheetId="2" r:id="rId4"/>
    <sheet name="wmr-workbook1" sheetId="6" r:id="rId5"/>
    <sheet name="wmr-workbook2" sheetId="7" r:id="rId6"/>
    <sheet name="source tracking" sheetId="9" r:id="rId7"/>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<sst xmlns="http://schemas.openxmlformats.org/spreadsheetml/2006/main" count="1318" uniqueCount="497">
  <si>
    <t>Year</t>
  </si>
  <si>
    <t>Country</t>
  </si>
  <si>
    <t>Survey</t>
  </si>
  <si>
    <t>Total</t>
  </si>
  <si>
    <t>Burkina Faso</t>
  </si>
  <si>
    <t>2021 DHS</t>
  </si>
  <si>
    <t>2017-18 MIS</t>
  </si>
  <si>
    <t>Mozambique</t>
  </si>
  <si>
    <t>2022-23 DHS</t>
  </si>
  <si>
    <t>32.3 (CI: 28.3 – 36.3)</t>
  </si>
  <si>
    <t>2018 MIS</t>
  </si>
  <si>
    <t>38.9 (CI: 33.9 – 43.9)</t>
  </si>
  <si>
    <t>2015 AIS</t>
  </si>
  <si>
    <t>40.2 (CI: 35.4 – 45.1)</t>
  </si>
  <si>
    <t>2011 DHS</t>
  </si>
  <si>
    <t>38.3 (CI: 34.8 – 41.8)</t>
  </si>
  <si>
    <t>35.1 (CI: 31.6 – 38.6)</t>
  </si>
  <si>
    <t>Nigeria</t>
  </si>
  <si>
    <t>2021 MIS</t>
  </si>
  <si>
    <t>39.6 (CI: 36.7 – 42.6)</t>
  </si>
  <si>
    <t>22.3 (CI: 20.1 – 24.5)</t>
  </si>
  <si>
    <t>2018 DHS</t>
  </si>
  <si>
    <t>36.2 (CI: 34.3 – 38.2)</t>
  </si>
  <si>
    <t>22.6 (CI: 20.9 – 24.3)</t>
  </si>
  <si>
    <t>2015 MIS</t>
  </si>
  <si>
    <t>45.1 (CI: 41.0 – 49.2)</t>
  </si>
  <si>
    <t>27.4 (CI: 24.2 – 30.7)</t>
  </si>
  <si>
    <t>2010 MIS</t>
  </si>
  <si>
    <t>51.5 (CI: 46.9 – 56.1)</t>
  </si>
  <si>
    <t>42.0 (CI: 37.4 – 46.6)</t>
  </si>
  <si>
    <t xml:space="preserve">Types  </t>
  </si>
  <si>
    <t>Metric</t>
  </si>
  <si>
    <t>KCI</t>
  </si>
  <si>
    <t>Vectors</t>
  </si>
  <si>
    <t xml:space="preserve">Anopheles gambiae s.s., An. arabiensis, and An. 
funestus s.s. </t>
  </si>
  <si>
    <t>Plasmodium falciparum</t>
  </si>
  <si>
    <t>Peak transmission season</t>
  </si>
  <si>
    <t xml:space="preserve">May through October </t>
  </si>
  <si>
    <t>Drivers</t>
  </si>
  <si>
    <t>Ecological zones, rainfall</t>
  </si>
  <si>
    <t xml:space="preserve">Extreme weather events </t>
  </si>
  <si>
    <t>Weather type</t>
  </si>
  <si>
    <t>Types of Malaria Data</t>
  </si>
  <si>
    <t>YES</t>
  </si>
  <si>
    <t xml:space="preserve">OPD Attendance </t>
  </si>
  <si>
    <t xml:space="preserve"> Suspected </t>
  </si>
  <si>
    <t>LLN</t>
  </si>
  <si>
    <t>Completeness</t>
  </si>
  <si>
    <t>IPTs</t>
  </si>
  <si>
    <t>Commodities</t>
  </si>
  <si>
    <t xml:space="preserve"> Fevers</t>
  </si>
  <si>
    <t xml:space="preserve"> Breakdown by Age</t>
  </si>
  <si>
    <t>NO</t>
  </si>
  <si>
    <t xml:space="preserve"> Breakdown by Testing method </t>
  </si>
  <si>
    <t xml:space="preserve"> Breakdown by hospital type </t>
  </si>
  <si>
    <t>Deaths</t>
  </si>
  <si>
    <t>Breakdown by severity</t>
  </si>
  <si>
    <t>Stock outs</t>
  </si>
  <si>
    <t xml:space="preserve">Patners </t>
  </si>
  <si>
    <t>Global Fund</t>
  </si>
  <si>
    <t>BMGF</t>
  </si>
  <si>
    <t>PMI</t>
  </si>
  <si>
    <t>Govt</t>
  </si>
  <si>
    <t>ANNEX 2 - NUMBER OF ITNs DISTRIBUTED THROUGH CAMPAIGNS IN MALARIA ENDEMIC COUNTRIES, 2020–2022</t>
  </si>
  <si>
    <t>Data on number of insecticide-treated mosquito nets were collected from reports from national malaria programmes and other sources by the Alliance for Malaria Prevention, RBM Partnership to End Malaria and The Global Fund</t>
  </si>
  <si>
    <t xml:space="preserve">Burkina Faso </t>
  </si>
  <si>
    <t xml:space="preserve">ITN: insecticide- treated mosquito net; NA: not applicable </t>
  </si>
  <si>
    <t>Note: Remaining nets not distributed through mass campaigns may be distributed through other channels (e.g. antenatal care).</t>
  </si>
  <si>
    <t xml:space="preserve">ITNs planned for distribution in 2020 </t>
  </si>
  <si>
    <t>ITNs  distributed in 2020</t>
  </si>
  <si>
    <t xml:space="preserve">ITNs remaining for distribution in 2021  </t>
  </si>
  <si>
    <t xml:space="preserve">Percentage of planned ITNs distributed in 2020 </t>
  </si>
  <si>
    <t>NA</t>
  </si>
  <si>
    <t>ITNs distributed in 2021 from 2020 campaigns</t>
  </si>
  <si>
    <t>Percentage of remaining ITNs from 2020 distributed in 2021</t>
  </si>
  <si>
    <t xml:space="preserve">ITNs planned for distribution in 2021 (including carry over from 2020) </t>
  </si>
  <si>
    <t>ITNs  distributed in 2021 (including carry over from 2020)</t>
  </si>
  <si>
    <t xml:space="preserve">ITNs remaining for distribution in 2022 </t>
  </si>
  <si>
    <t xml:space="preserve">Percentage of ITNs planned for distribution in 2021 distributed in 2021 </t>
  </si>
  <si>
    <t>ITNs distributed in 2022 from 2021 campaigns</t>
  </si>
  <si>
    <t>Percentage of remaining ITNs from 2021 distributed in 2022(including carry -over from 2021)</t>
  </si>
  <si>
    <t>ITNs planned for distribution in 2022 (including carry -over from 2021)</t>
  </si>
  <si>
    <t>ITNs  distributed in 2022 (including carry -over from 2021)</t>
  </si>
  <si>
    <t>Percentage of ITNs planned for distribution in 2022 distributed in 2022</t>
  </si>
  <si>
    <t>Annex 5 - C. FUNDING FOR MALARIA CONTROL, 2020–2022</t>
  </si>
  <si>
    <t>WHO region
Country/area</t>
  </si>
  <si>
    <t>AFRICAN</t>
  </si>
  <si>
    <t/>
  </si>
  <si>
    <t>Contributions reported by donors</t>
  </si>
  <si>
    <t>-</t>
  </si>
  <si>
    <t>Others</t>
  </si>
  <si>
    <t>Contributions reported by countries</t>
  </si>
  <si>
    <t>Government (NMP)</t>
  </si>
  <si>
    <t>PMI/USAID</t>
  </si>
  <si>
    <t>World Bank</t>
  </si>
  <si>
    <t>Other 
bilaterals</t>
  </si>
  <si>
    <t>WHO</t>
  </si>
  <si>
    <t>UNICEF</t>
  </si>
  <si>
    <t>Annex 3 – D. COMMODITIES DISTRIBUTION AND COVERAGE, 2020–2022</t>
  </si>
  <si>
    <t>ACT: artemisinin-based combination therapy; IRS: indoor residual spraying; ITN: insecticide-treated mosquito net; LLIN: long-lasting insecticidal net; RDT: rapid diagnostic test; WHO: World Health Organization.</t>
  </si>
  <si>
    <t>“–” refers to data not available.</t>
  </si>
  <si>
    <t>1 In May 2013, South Sudan was reassigned to the WHO African Region (WHA resolution 66.21, https://apps.who.int/gb/ebwha/pdf_files/WHA66/A66_R21-en.pdf).</t>
  </si>
  <si>
    <t>2 Where national data for the United Republic of Tanzania are unavailable, refer to Mainland and Zanzibar.</t>
  </si>
  <si>
    <t>* Any first-line courses delivered (including ACT) is calculated.</t>
  </si>
  <si>
    <t>^ The number of malaria cases treated with any first-line treatment courses (including ACT) has been used as a proxy for any first-line treatment courses delivered (including ACT), or the country reports the number of patients treated rather than the number of treatment courses delivered.</t>
  </si>
  <si>
    <t>$ ACT treatment courses delivered are used to replace missing data for any first-line treatment courses delivered (including ACT).</t>
  </si>
  <si>
    <t>† ACT treatment courses delivered are calculated.</t>
  </si>
  <si>
    <t># The number of malaria cases treated with ACT has been used as a proxy for ACT treatment courses delivered, or the country reports the number of patients treated rather than the number of treatment courses delivered.</t>
  </si>
  <si>
    <t>No. of LLINs delivered</t>
  </si>
  <si>
    <t>Modelled percentage of population with access to an ITN</t>
  </si>
  <si>
    <t>No. of people protected by IRS</t>
  </si>
  <si>
    <t>No. of RDTs distributed</t>
  </si>
  <si>
    <t>Any first-line treatment courses delivered (including ACT)</t>
  </si>
  <si>
    <t>11’336’876$</t>
  </si>
  <si>
    <t>No. of malaria cases treated with any first-line treatment courses (including ACT)</t>
  </si>
  <si>
    <t>Data as of 3 October 2023</t>
  </si>
  <si>
    <t>ACT treatment courses delivered</t>
  </si>
  <si>
    <t>11’336’876†</t>
  </si>
  <si>
    <t>No. of malaria cases treated with ACT</t>
  </si>
  <si>
    <t>ANNEX 5 - Ea. HOUSEHOLD SURVEY RESULTS, 2018–2022, COMPILED BY STATCOMPILER</t>
  </si>
  <si>
    <t>ACT: artemisinin-based combination therapy; AIS: AIDS indicator survey; DHS: demographic and health survey; IPTp: intermittent preventive treatment in pregnancy; IRS: indoor residual spraying; ITN: insecticide-treated mosquito net; MIS: malaria indicator survey; RDT: rapid
diagnostic test; WHO: World Health Organization.</t>
  </si>
  <si>
    <t>“–” refers to not applicable or data not available.</t>
  </si>
  <si>
    <t>Sources: Nationally representative household survey data from AIS, DHS and MIS, compiled through STATcompiler – https://www.statcompiler.com/.</t>
  </si>
  <si>
    <t>Source</t>
  </si>
  <si>
    <t>% of households</t>
  </si>
  <si>
    <t>with at least one ITN</t>
  </si>
  <si>
    <t>with at least one ITN for every two persons who stayed in the household the previous night</t>
  </si>
  <si>
    <t>with IRS in the past 12 months</t>
  </si>
  <si>
    <t>–</t>
  </si>
  <si>
    <t>with at least one ITN and/or IRS in the past 12 months</t>
  </si>
  <si>
    <t>with at least one ITN for every two persons and/or IRS in the past 12 months</t>
  </si>
  <si>
    <t>% of population</t>
  </si>
  <si>
    <t>with access to an ITN</t>
  </si>
  <si>
    <t>who slept under an ITN last night</t>
  </si>
  <si>
    <t>% of ITNs</t>
  </si>
  <si>
    <t>that were used last night</t>
  </si>
  <si>
    <t>% of pregnant women</t>
  </si>
  <si>
    <t>who slept under an ITN</t>
  </si>
  <si>
    <t>who took 3+ doses of IPTp</t>
  </si>
  <si>
    <t>% of children &lt;5 years</t>
  </si>
  <si>
    <t xml:space="preserve">who slept under an ITN </t>
  </si>
  <si>
    <t>with moderate or severe anaemia</t>
  </si>
  <si>
    <t>with a positive RDT</t>
  </si>
  <si>
    <t>with a positive microscopy blood smear</t>
  </si>
  <si>
    <t>% of children &lt;5 years with fever in the past 2 weeks</t>
  </si>
  <si>
    <t>for whom advice or treatment was sought</t>
  </si>
  <si>
    <t>Data as of 22 September 2023</t>
  </si>
  <si>
    <t>who had blood taken from a finger or heel for testing</t>
  </si>
  <si>
    <t>who took antimalarial drugs</t>
  </si>
  <si>
    <t>who took an ACT among those who received any antimalarial</t>
  </si>
  <si>
    <t>Annex 5 - B. ANTIMALARIAL DRUG POLICY, 2022</t>
  </si>
  <si>
    <t>ACT: artemisinin-based combination therapy; AL: artemether-lumefantrine; AM: artemether; AQ: amodiaquine; ART: artemisinin; AS: artesunate; AT: atovaquone; CL: clindamycin; CQ: chloroquine; DHA: dihydroartemisinin; IPT: intermittent preventive treatment of malaria; MQ: mefloquine; NA: not applicable; P.: Plasmodium; PG: proguanil; PPQ: piperaquine; PQ: primaquine; PYR: pyronaridine; QN: quinine; SP: sulfadoxine-pyrimethamine; WHO: World Health Organization.</t>
  </si>
  <si>
    <t>"-" refers to data not available.</t>
  </si>
  <si>
    <t xml:space="preserve">P. falciparum </t>
  </si>
  <si>
    <t>Uncomplicated
unconfirmed</t>
  </si>
  <si>
    <t>AL</t>
  </si>
  <si>
    <t>AL; AS+AQ</t>
  </si>
  <si>
    <t>Uncomplicated
confirmed</t>
  </si>
  <si>
    <t>AS+AQ</t>
  </si>
  <si>
    <t>AL; AS-PYR; AS+AQ; DHA-PPQ</t>
  </si>
  <si>
    <t>Severe</t>
  </si>
  <si>
    <t>AS</t>
  </si>
  <si>
    <t>Prevention during pregnancy</t>
  </si>
  <si>
    <t>SP(IPT)</t>
  </si>
  <si>
    <t>Data as of 24 October 2022</t>
  </si>
  <si>
    <t>P.vivax</t>
  </si>
  <si>
    <t>Treatment</t>
  </si>
  <si>
    <t>Annex 4-A. Policy Adoption, 2022</t>
  </si>
  <si>
    <t>African</t>
  </si>
  <si>
    <t>ACT: artemisinin-based combination therapy; ANC: antenatal care; DDT: dichlorodiphenyltrichloroethane; EPI: Expanded Programme on Immunization; G6PD: glucose-6-phosphate dehydrogenase; IM: intramuscular; IPTc: intermittent preventive treatment in children; IPTp: intermittent preventive treatment in pregnancy; IRS: indoor residual spraying; ITN: insecticide-treated mosquito net; LLIN: long-lasting insecticidal net; P.: Plasmodium; RDT: rapid diagnostic test; SMC: seasonal malaria chemoprevention; WHO: World Health Organization.</t>
  </si>
  <si>
    <t>1 - Single dose of primaquine (0.75 mg base/kg) for countries in the WHO Region of the Americas.</t>
  </si>
  <si>
    <t>2 - In May 2013, South Sudan was reassigned to the WHO African Region (WHA resolution 66.21, https://apps.who.int/gb/ebwha/pdf_files/WHA66/A66_R21-en.pdf).</t>
  </si>
  <si>
    <t>3 - Where national data for the United Republic of Tanzania are unavailable, refer to Mainland and Zanzibar.</t>
  </si>
  <si>
    <t>4 - ITNs were distributed, however the distribution channel could not be specified due to the use of different operational definitions.</t>
  </si>
  <si>
    <t>5 - ITNs were distributed, however the channel of distribution was not specified.</t>
  </si>
  <si>
    <t>6 - Nets distributed in 2022 were those remaining from the 2021 mass campaign.</t>
  </si>
  <si>
    <t>Y1 = Policy exists and has been implemented this year.</t>
  </si>
  <si>
    <t>Y = Policy exists but is not implemented this year or no data exists to support implementation.</t>
  </si>
  <si>
    <t>N = Policy does not exist.</t>
  </si>
  <si>
    <t>D = Policy discontinued.</t>
  </si>
  <si>
    <t>B = Both microscopy and RDT are free.</t>
  </si>
  <si>
    <t>Y2 = Diagnosis is free but diagnostic test was not specified.</t>
  </si>
  <si>
    <t>MIC = Only microscopy is free.</t>
  </si>
  <si>
    <t>RDT = Only RDT is free.</t>
  </si>
  <si>
    <t>Ni = Neither microscopy nor RDT are free.</t>
  </si>
  <si>
    <t>NA = Policy not applicable.</t>
  </si>
  <si>
    <t>- = Question not answered and there is no information from previous years.</t>
  </si>
  <si>
    <t>ITNs/LLINS distributed free of charge</t>
  </si>
  <si>
    <t>Y1</t>
  </si>
  <si>
    <t>ITNs/LLINs are distributed through ANC</t>
  </si>
  <si>
    <t>Y</t>
  </si>
  <si>
    <t>ITNs/LLINs are distributed through EPI/well baby clinic</t>
  </si>
  <si>
    <t>N</t>
  </si>
  <si>
    <t>ITNs/LLINs are distributed through mass campaigns</t>
  </si>
  <si>
    <t>IRS is recommended by malaria control programme</t>
  </si>
  <si>
    <t>DDT is used for IRS</t>
  </si>
  <si>
    <t>IPTp is used to prevent malaria during pregnancy</t>
  </si>
  <si>
    <t>SMC is used</t>
  </si>
  <si>
    <t>Malaria diagnosis is free of charge in the private sector</t>
  </si>
  <si>
    <t>Malaria diagnosis is free of charge in the public sector</t>
  </si>
  <si>
    <t>RDT</t>
  </si>
  <si>
    <t>B</t>
  </si>
  <si>
    <t>RDTs are used at community level</t>
  </si>
  <si>
    <t>G6PD test is recommended before treatment with primaquine</t>
  </si>
  <si>
    <t>ACT for treatment of P. falciparum</t>
  </si>
  <si>
    <t>Pre-referral treatment with quinine or artemether IM or artesunate suppositories</t>
  </si>
  <si>
    <t>Single low dose of primaquine with ACT to reduce transmissibility of P. falciparum1</t>
  </si>
  <si>
    <t>Primaquine is used for radical treatment of P. vivax cases</t>
  </si>
  <si>
    <t>Directly observed treatment with primaquine is undertaken</t>
  </si>
  <si>
    <t>WHO region
Country</t>
  </si>
  <si>
    <t>Notes:</t>
  </si>
  <si>
    <t xml:space="preserve">The analysis is presented as: point estimate (95% confidence interval).
Figures with fewer than 30 children in the denominator were removed.
“–” refers to not applicable or data not available.
</t>
  </si>
  <si>
    <t>Fever prevalence</t>
  </si>
  <si>
    <t>Overall</t>
  </si>
  <si>
    <t>22 (21, 24)</t>
  </si>
  <si>
    <t>31 (28, 35)</t>
  </si>
  <si>
    <t>24 (23, 25)</t>
  </si>
  <si>
    <t>Health sector where treatment was sought</t>
  </si>
  <si>
    <t>Public excluding community health workers</t>
  </si>
  <si>
    <t>71 (68, 73)</t>
  </si>
  <si>
    <t>64 (57, 70)</t>
  </si>
  <si>
    <t>27 (25, 29)</t>
  </si>
  <si>
    <t>Community health workers</t>
  </si>
  <si>
    <t>0 (0, 0)</t>
  </si>
  <si>
    <t>4 (2, 7)</t>
  </si>
  <si>
    <t>1 (1, 1)</t>
  </si>
  <si>
    <t>Formal medical private excluding pharmacies</t>
  </si>
  <si>
    <t>2 (1, 3)</t>
  </si>
  <si>
    <t>0 (0, 1)</t>
  </si>
  <si>
    <t>38 (36, 40)</t>
  </si>
  <si>
    <t>Pharmacies or accredited drug stores</t>
  </si>
  <si>
    <t>5 (4, 6)</t>
  </si>
  <si>
    <t>Informal private</t>
  </si>
  <si>
    <t>3 (2, 4)</t>
  </si>
  <si>
    <t>1 (1, 3)</t>
  </si>
  <si>
    <t>4 (3, 5)</t>
  </si>
  <si>
    <t>No treatment seeking</t>
  </si>
  <si>
    <t>24 (22, 27)</t>
  </si>
  <si>
    <t>31 (26, 37)</t>
  </si>
  <si>
    <t>26 (25, 28)</t>
  </si>
  <si>
    <t>Trained provider</t>
  </si>
  <si>
    <t>73 (71, 75)</t>
  </si>
  <si>
    <t>68 (62, 73)</t>
  </si>
  <si>
    <t>70 (68, 72)</t>
  </si>
  <si>
    <t>Diagnostic testing coverage in each health sector</t>
  </si>
  <si>
    <t>85 (83, 87)</t>
  </si>
  <si>
    <t>72 (67, 76)</t>
  </si>
  <si>
    <t>35 (32, 38)</t>
  </si>
  <si>
    <t>41 (13, 76)</t>
  </si>
  <si>
    <t>9 (4, 18)</t>
  </si>
  <si>
    <t>56 (33, 77)</t>
  </si>
  <si>
    <t>8 (6, 9)</t>
  </si>
  <si>
    <t>11 (7, 16)</t>
  </si>
  <si>
    <t>19 (12, 30)</t>
  </si>
  <si>
    <t>3 (1, 5)</t>
  </si>
  <si>
    <t>ACT: artemisinin-based combination therapy; DHS: demographic and health survey; MIS: malaria indicator survey; WHO: World Health Organization.</t>
  </si>
  <si>
    <t>Sources: Nationally representative household survey data from DHS and MIS, compiled through WHO calculations.</t>
  </si>
  <si>
    <t>84 (82, 86)</t>
  </si>
  <si>
    <t>70 (65, 74)</t>
  </si>
  <si>
    <t>18 (17, 20)</t>
  </si>
  <si>
    <t>Antimalarial treatment coverage in each health sector</t>
  </si>
  <si>
    <t>76 (73, 78)</t>
  </si>
  <si>
    <t>47 (40, 53)</t>
  </si>
  <si>
    <t>64 (61, 66)</t>
  </si>
  <si>
    <t>57 (44, 70)</t>
  </si>
  <si>
    <t>57 (39, 73)</t>
  </si>
  <si>
    <t>50 (34, 67)</t>
  </si>
  <si>
    <t>51 (48, 53)</t>
  </si>
  <si>
    <t>37 (32, 43)</t>
  </si>
  <si>
    <t>Self-treatment</t>
  </si>
  <si>
    <t>20 (11, 33)</t>
  </si>
  <si>
    <t>23 (17, 31)</t>
  </si>
  <si>
    <t>Data as of 02 October 2023</t>
  </si>
  <si>
    <t>11 (8, 14)</t>
  </si>
  <si>
    <t>10 (6, 17)</t>
  </si>
  <si>
    <t>19 (17, 21)</t>
  </si>
  <si>
    <t>75 (72, 77)</t>
  </si>
  <si>
    <t>47 (41, 53)</t>
  </si>
  <si>
    <t>55 (53, 56)</t>
  </si>
  <si>
    <t>ACT use among antimalarial treatment in each health sector</t>
  </si>
  <si>
    <t>Public</t>
  </si>
  <si>
    <t>49 (45, 53)</t>
  </si>
  <si>
    <t>98 (97, 99)</t>
  </si>
  <si>
    <t>54 (50, 57)</t>
  </si>
  <si>
    <t>Private</t>
  </si>
  <si>
    <t>63 (46, 78)</t>
  </si>
  <si>
    <t>50 (46, 53)</t>
  </si>
  <si>
    <t>46 (18, 77)</t>
  </si>
  <si>
    <t>35 (22, 50)</t>
  </si>
  <si>
    <t>ANNEX 5 - G. POPULATION DENOMINATOR FOR CASE INCIDENCE AND MORTALITY RATE, AND REPORTED MALARIA CASES BY PLACE OF CARE, 2022</t>
  </si>
  <si>
    <t>Americas</t>
  </si>
  <si>
    <t>Eastern Mediterranean</t>
  </si>
  <si>
    <t>South-East Asia</t>
  </si>
  <si>
    <t>Western Pacific</t>
  </si>
  <si>
    <t>“–“ refers to not applicable or data not available.</t>
  </si>
  <si>
    <t>1 In May 2013, South Sudan was reassigned to the WHO African Region (WHA resolution 66.21, https://apps.who.int/gb/ebwha/pdf_files/WHA66/A66_R21-en.pdf)</t>
  </si>
  <si>
    <t>2 Figures include non-human malaria cases.</t>
  </si>
  <si>
    <t>3 Figures reported for the public sector include cases detected in the private sector.</t>
  </si>
  <si>
    <t>4 Figures reported for the public sector include cases detected at the community level.</t>
  </si>
  <si>
    <t>5 Figures reported for the public sector include cases detected at the community level and in the private sector.</t>
  </si>
  <si>
    <t>* Confirmed cases are corrected for double counting of microscopy and RDTs</t>
  </si>
  <si>
    <t>Note: Figures include imported cases.</t>
  </si>
  <si>
    <t>Population</t>
  </si>
  <si>
    <t>UN population</t>
  </si>
  <si>
    <t>At risk
(low + high)</t>
  </si>
  <si>
    <t>At risk
(high)</t>
  </si>
  <si>
    <t>Number of people living in active foci</t>
  </si>
  <si>
    <t>Public sector</t>
  </si>
  <si>
    <t>Presumed</t>
  </si>
  <si>
    <t>Confirmed</t>
  </si>
  <si>
    <t>Private sector</t>
  </si>
  <si>
    <t>Data as of 09 October 2023</t>
  </si>
  <si>
    <t>Community level</t>
  </si>
  <si>
    <t>Annex 5 – H. REPORTED MALARIA CASES BY METHOD OF CONFIRMATION, 2010–2022</t>
  </si>
  <si>
    <t>WHO region_x000D_
Country/area</t>
  </si>
  <si>
    <t>REGIONAL SUMMARY (presumed and confirmed malaria cases)</t>
  </si>
  <si>
    <t>European</t>
  </si>
  <si>
    <t>RDT: rapid diagnostic test; WHO: World Health Organization</t>
  </si>
  <si>
    <t>* The country reported double counting of RDTs and microscopy but did not indicate the number of cases double counted. Confirmed cases have not been corrected.</t>
  </si>
  <si>
    <t>** Suspected cases are less than presumed+microscopy examined+rdt examined due to double counting of tests by microscopy and RDT.</t>
  </si>
  <si>
    <t>^ Confirmed cases are corrected for double counting of microscopy and RDTs.</t>
  </si>
  <si>
    <t>+ Incomplete laboratory data. Confirmed cases reported by the country exceed microscopy positive + RDT positive.</t>
  </si>
  <si>
    <t>£ Confirmed cases reported through outpatients + inpatients are used instead of laboratory confirmed cases.</t>
  </si>
  <si>
    <t>‡ Confirmed cases reported through outpatientsare used instead of laboratory confirmed cases.</t>
  </si>
  <si>
    <t>$ Data are available for Zanzibar only.</t>
  </si>
  <si>
    <t>§ Imported cases are not included in total confirmed cases.</t>
  </si>
  <si>
    <t>++ Unresolved data quality issues between total confirmed and total classified cases</t>
  </si>
  <si>
    <t>1 Certified malaria free countries are included in this listing for historical purposes.</t>
  </si>
  <si>
    <t>2 Cases include imported and/or introduced cases.</t>
  </si>
  <si>
    <t>3 There are no indigenous cases in 2022.</t>
  </si>
  <si>
    <t>4 In May 2013, South Sudan was reassigned to the WHO African Region (WHA resolution 66.21, https://apps.who.int/gb/ebwha/pdf_files/WHA66/A66_R21-en.pdf).</t>
  </si>
  <si>
    <t>5 In 2022, more than one third of cases were due to relapses.</t>
  </si>
  <si>
    <t>Suspected cases</t>
  </si>
  <si>
    <t>Presumed and confirmed</t>
  </si>
  <si>
    <t>Microscopy examined</t>
  </si>
  <si>
    <t>Microscopy positive</t>
  </si>
  <si>
    <t>RDT examined</t>
  </si>
  <si>
    <t>RDT positive</t>
  </si>
  <si>
    <t>6’474’757*</t>
  </si>
  <si>
    <t>5’877’426*</t>
  </si>
  <si>
    <t>11’567’698*</t>
  </si>
  <si>
    <t>10’600’340*</t>
  </si>
  <si>
    <t>Data as of 10 October 2023</t>
  </si>
  <si>
    <t>Annex 5 – I. REPORTED MALARIA CASES BY SPECIES, 2010–2022</t>
  </si>
  <si>
    <t>P. Plasmodium; RDT: rapid diagnostic test; WHO: World Health Organization.</t>
  </si>
  <si>
    <t>* Reported indigenous cases.</t>
  </si>
  <si>
    <t>** Indigenous cases =  Confirmed cases - imported cases.</t>
  </si>
  <si>
    <t>*** Unclassified cases are re-classified as indigenous cases.</t>
  </si>
  <si>
    <t>**** Indigenous cases = Confirmed cases - imported and introduced cases.</t>
  </si>
  <si>
    <t xml:space="preserve">‡  Includes cases classified as indigenous and introduced. Due to the large number of cases the country was unable to follow up and accurately distinguish between the two. </t>
  </si>
  <si>
    <t>$ Zanzibar only.</t>
  </si>
  <si>
    <t xml:space="preserve">^ Data discrepancies between total indigenous cases and sum of species are due to the use of different data sources, differences in classification of mixed infections, failure to update species data following data audit or inability to adjust species for double counting of RDTs and microscopy. </t>
  </si>
  <si>
    <t>§ No adjustment for imported and/or introduced cases due to incomplete information, data quality issues or use of different data sources for imported and introduced cases.</t>
  </si>
  <si>
    <t># Species includes introduced cases.</t>
  </si>
  <si>
    <t>Indigenous cases do not include non-human malaria cases or introduced cases.</t>
  </si>
  <si>
    <t>2 In May 2013, South Sudan was reassigned to the WHO African Region (WHA resolution 66.21, https://apps.who.int/gb/ebwha/pdf_files/WHA66/A66_R21-en.pdf).</t>
  </si>
  <si>
    <t>Indigenous cases</t>
  </si>
  <si>
    <t>Total P. falciparum</t>
  </si>
  <si>
    <t>Total P. vivax</t>
  </si>
  <si>
    <t>Total mixed cases</t>
  </si>
  <si>
    <t>Total other cases</t>
  </si>
  <si>
    <t>Annex 5 – J. REPORTED MALARIA DEATHS, 2010–2022</t>
  </si>
  <si>
    <t>E-2025: eliminating countries for 2025; WHO: World Health Organization.</t>
  </si>
  <si>
    <t>2 There were no indigenous deaths in 2022</t>
  </si>
  <si>
    <t>3 In May 2013, South Sudan was reassigned to the WHO African Region (WHA resolution 66.21, https://apps.who.int/gb/ebwha/pdf_files/WHA66/A66_R21-en.pdf).</t>
  </si>
  <si>
    <t xml:space="preserve">Notes: </t>
  </si>
  <si>
    <t xml:space="preserve">There have been no indigenous deaths reported in the WHO European Region since 2010. </t>
  </si>
  <si>
    <t xml:space="preserve">Reported indigenous deaths are shown for countries where 100% of deaths have been investigated and classified, which may vary from year to year. The majority of these are E-2025 countries. For countries where case investigations are not carried out, all deaths are assumed to be indigenous.  </t>
  </si>
  <si>
    <t>Data as of 04 October 2023</t>
  </si>
  <si>
    <t>ANNEX 4 – F. POPULATION DENOMINATOR FOR CASE INCIDENCE AND MORTALITY RATE, 
AND ESTIMATED MALARIA CASES AND DEATHS, 2000–2022</t>
  </si>
  <si>
    <t>Population denominator for incidence and mortality rate</t>
  </si>
  <si>
    <t>Cases</t>
  </si>
  <si>
    <t>Lower</t>
  </si>
  <si>
    <t>Point</t>
  </si>
  <si>
    <t>Upper</t>
  </si>
  <si>
    <t>Vaccine</t>
  </si>
  <si>
    <t>Type</t>
  </si>
  <si>
    <t>World Health Organization (WHO)</t>
  </si>
  <si>
    <t>GAVI, the Vaccine Alliance</t>
  </si>
  <si>
    <t>Clinton Health Access Initiative (CHAI)</t>
  </si>
  <si>
    <t>Malaria Consortium</t>
  </si>
  <si>
    <t>Parasite</t>
  </si>
  <si>
    <t xml:space="preserve">An. gambiae predominates,
An. coluzzii  An. arabiensis </t>
  </si>
  <si>
    <t xml:space="preserve">October through March </t>
  </si>
  <si>
    <t>Cyclones</t>
  </si>
  <si>
    <t>Policy/Program</t>
  </si>
  <si>
    <t>Prevalence (%)</t>
  </si>
  <si>
    <t>Incidence (Million Cases)</t>
  </si>
  <si>
    <t>Deaths (Reported)</t>
  </si>
  <si>
    <t>ITNs/LLINs Distributed Free</t>
  </si>
  <si>
    <t>ANC Distribution of ITNs</t>
  </si>
  <si>
    <t>Mass ITN Campaigns</t>
  </si>
  <si>
    <t>IRS Recommended</t>
  </si>
  <si>
    <t>DDT Used for IRS</t>
  </si>
  <si>
    <t>IPTp</t>
  </si>
  <si>
    <t>RDTs at Community Level</t>
  </si>
  <si>
    <t>ACT for P. falciparum</t>
  </si>
  <si>
    <t>Establishment of PNCM</t>
  </si>
  <si>
    <t>Adoption of ACTs</t>
  </si>
  <si>
    <t>Adopted</t>
  </si>
  <si>
    <t>Introduction of RDTs</t>
  </si>
  <si>
    <t>Introduced</t>
  </si>
  <si>
    <t>Scaled</t>
  </si>
  <si>
    <t>Expansion of IRS</t>
  </si>
  <si>
    <t>Started</t>
  </si>
  <si>
    <t>Yes</t>
  </si>
  <si>
    <t>Expanded</t>
  </si>
  <si>
    <t>Continued</t>
  </si>
  <si>
    <t>Launch of Strategic Plan (2012–2016)</t>
  </si>
  <si>
    <t>Mass ITN Distribution</t>
  </si>
  <si>
    <t>Nationwide DHIS2 Implementation</t>
  </si>
  <si>
    <t>Launch of Strategic Plan (2017–2022)</t>
  </si>
  <si>
    <t>MIS Reported Prevalence 39%</t>
  </si>
  <si>
    <t>Malaria Fund Establishment</t>
  </si>
  <si>
    <t>Digital Health Pilot Programs</t>
  </si>
  <si>
    <t>Innovations in Outreach (COVID-19)</t>
  </si>
  <si>
    <t>Pilot Initiated</t>
  </si>
  <si>
    <t>New ITN Distribution Models</t>
  </si>
  <si>
    <t>Planned</t>
  </si>
  <si>
    <t>Launch of Strategic Plan (2023–2030)</t>
  </si>
  <si>
    <t xml:space="preserve">                                                              </t>
  </si>
  <si>
    <t>ANNEX 5 - Eb. HOUSEHOLD SURVEY RESULTS, 2018–2022, COMPILED THROUGH WHO CALCULATIONS</t>
  </si>
  <si>
    <t>Mosquito species</t>
  </si>
  <si>
    <t>Vaccine Pilot</t>
  </si>
  <si>
    <t>Creation of National Malaria Control Program</t>
  </si>
  <si>
    <t>No</t>
  </si>
  <si>
    <t>ITNs distributed free of charge</t>
  </si>
  <si>
    <t>Mass distribution of ITNs</t>
  </si>
  <si>
    <t>Ongoing</t>
  </si>
  <si>
    <t>Launch of IPTp campaigns</t>
  </si>
  <si>
    <t>Adoption of ACTs as first-line treatment</t>
  </si>
  <si>
    <t>Integration of malaria diagnosis in community-level RDTs</t>
  </si>
  <si>
    <t>Pilot for malaria vaccines initiated</t>
  </si>
  <si>
    <t>Initiated</t>
  </si>
  <si>
    <t>Planned mass ITN campaigns</t>
  </si>
  <si>
    <t>Between 2010 and 2018 suspected cases were calculated based on the formula  suspected = presumed+microscopy examined+rdt examined, unless reported retrospectively by the country. From 2019 onwards, suspected cases were reported by countries. If data quality issues were detected, suspected cases were re-calculated applying the same formula used in 2010–2018.</t>
  </si>
  <si>
    <r>
      <t>Mozambique</t>
    </r>
    <r>
      <rPr>
        <vertAlign val="superscript"/>
        <sz val="12"/>
        <rFont val="Arial"/>
        <family val="2"/>
      </rPr>
      <t>1</t>
    </r>
  </si>
  <si>
    <r>
      <rPr>
        <vertAlign val="superscript"/>
        <sz val="12"/>
        <rFont val="Arial"/>
        <family val="2"/>
      </rPr>
      <t>1</t>
    </r>
    <r>
      <rPr>
        <sz val="12"/>
        <rFont val="Arial"/>
        <family val="2"/>
      </rPr>
      <t xml:space="preserve"> The carry-over of ITNs from 2020 were distributed through routine channels.</t>
    </r>
  </si>
  <si>
    <r>
      <rPr>
        <vertAlign val="superscript"/>
        <sz val="12"/>
        <rFont val="Arial"/>
        <family val="2"/>
      </rPr>
      <t>2</t>
    </r>
    <r>
      <rPr>
        <sz val="12"/>
        <rFont val="Arial"/>
        <family val="2"/>
      </rPr>
      <t xml:space="preserve"> Planned distribution was adjusted based on ITNs distributed; where ITN distribution was more than planned, ITNs distributed = ITNs
planned for distribution.</t>
    </r>
  </si>
  <si>
    <r>
      <rPr>
        <vertAlign val="superscript"/>
        <sz val="12"/>
        <rFont val="Arial"/>
        <family val="2"/>
      </rPr>
      <t>3</t>
    </r>
    <r>
      <rPr>
        <sz val="12"/>
        <rFont val="Arial"/>
        <family val="2"/>
      </rPr>
      <t xml:space="preserve"> The 2019 mass campaign resulted in carry-over of ITNs that were distributed in 2020 and 2021 through routine distribution channels.</t>
    </r>
  </si>
  <si>
    <r>
      <rPr>
        <vertAlign val="superscript"/>
        <sz val="12"/>
        <rFont val="Arial"/>
        <family val="2"/>
      </rPr>
      <t>4</t>
    </r>
    <r>
      <rPr>
        <sz val="12"/>
        <rFont val="Arial"/>
        <family val="2"/>
      </rPr>
      <t xml:space="preserve"> The 2019 mass campaign resulted in carry-over of ITNs that were distributed in 2020 and 2021.</t>
    </r>
  </si>
  <si>
    <r>
      <rPr>
        <vertAlign val="superscript"/>
        <sz val="12"/>
        <rFont val="Arial"/>
        <family val="2"/>
      </rPr>
      <t>5</t>
    </r>
    <r>
      <rPr>
        <sz val="12"/>
        <rFont val="Arial"/>
        <family val="2"/>
      </rPr>
      <t xml:space="preserve"> No data were reported on planned distribution; therefore adjustment was made that planned distribution = ITNs distributed.</t>
    </r>
  </si>
  <si>
    <r>
      <rPr>
        <vertAlign val="superscript"/>
        <sz val="12"/>
        <color rgb="FF000000"/>
        <rFont val="Arial"/>
        <family val="2"/>
      </rPr>
      <t>6</t>
    </r>
    <r>
      <rPr>
        <sz val="12"/>
        <color rgb="FF000000"/>
        <rFont val="Arial"/>
        <family val="2"/>
      </rPr>
      <t xml:space="preserve"> India provided information on their mass campaign distributions between 2020 and 2022 based on the initial nets planned for 2020. Adjustments were made for 2022 to determine the proportion of nets distributed by the end of 2022 out of the initial number of nets planned to be distributed in 2020.  </t>
    </r>
  </si>
  <si>
    <r>
      <t>Global Fund</t>
    </r>
    <r>
      <rPr>
        <b/>
        <sz val="12"/>
        <color rgb="FFFF0000"/>
        <rFont val="Arial"/>
        <family val="2"/>
      </rPr>
      <t>¹</t>
    </r>
  </si>
  <si>
    <r>
      <t>PMI/USAID</t>
    </r>
    <r>
      <rPr>
        <b/>
        <sz val="12"/>
        <color rgb="FFFF0000"/>
        <rFont val="Arial"/>
        <family val="2"/>
      </rPr>
      <t>²</t>
    </r>
  </si>
  <si>
    <r>
      <t>World Bank</t>
    </r>
    <r>
      <rPr>
        <b/>
        <sz val="12"/>
        <color rgb="FFFF0000"/>
        <rFont val="Arial"/>
        <family val="2"/>
      </rPr>
      <t>³</t>
    </r>
  </si>
  <si>
    <r>
      <t>UK</t>
    </r>
    <r>
      <rPr>
        <b/>
        <vertAlign val="superscript"/>
        <sz val="12"/>
        <color rgb="FFFF0000"/>
        <rFont val="Arial"/>
        <family val="2"/>
      </rPr>
      <t>4</t>
    </r>
  </si>
  <si>
    <r>
      <t>Other
contributions</t>
    </r>
    <r>
      <rPr>
        <b/>
        <vertAlign val="superscript"/>
        <sz val="12"/>
        <color rgb="FFFF0000"/>
        <rFont val="Arial"/>
        <family val="2"/>
      </rPr>
      <t>7</t>
    </r>
  </si>
  <si>
    <r>
      <t>6 Figures include non-human malaria cases (</t>
    </r>
    <r>
      <rPr>
        <i/>
        <sz val="12"/>
        <color theme="1"/>
        <rFont val="Arial"/>
        <family val="2"/>
      </rPr>
      <t>Plasmodium knowlesi</t>
    </r>
    <r>
      <rPr>
        <sz val="12"/>
        <color theme="1"/>
        <rFont val="Arial"/>
        <family val="2"/>
      </rPr>
      <t>).</t>
    </r>
  </si>
  <si>
    <r>
      <t>4 All malaria deaths reported between 2018 and 2021, and eleven deaths in 2017 were due to infection with</t>
    </r>
    <r>
      <rPr>
        <i/>
        <sz val="12"/>
        <color theme="1"/>
        <rFont val="Arial"/>
        <family val="2"/>
      </rPr>
      <t xml:space="preserve"> P. knowlesi.</t>
    </r>
  </si>
  <si>
    <r>
      <t xml:space="preserve">5 Malaria death reported in 2022 was due to infection with </t>
    </r>
    <r>
      <rPr>
        <i/>
        <sz val="12"/>
        <color theme="1"/>
        <rFont val="Arial"/>
        <family val="2"/>
      </rPr>
      <t>P. knowlesi</t>
    </r>
    <r>
      <rPr>
        <sz val="12"/>
        <color theme="1"/>
        <rFont val="Arial"/>
        <family val="2"/>
      </rPr>
      <t>.</t>
    </r>
  </si>
  <si>
    <t xml:space="preserve">                                                                                                                                                                                                                                                                                                                                                                                                                                                                                                                                                                                                                                                                                                                                                                                                                                                                                                                                                                                                                                                                                                                                                                                                                                          </t>
  </si>
  <si>
    <t>SMC Introduced</t>
  </si>
  <si>
    <t>Establishment of National Malaria Control Program</t>
  </si>
  <si>
    <t>None</t>
  </si>
  <si>
    <t>Free ITN distribution initiated through ANC</t>
  </si>
  <si>
    <t>Mass LLIN distribution campaigns</t>
  </si>
  <si>
    <t>Introduction of Seasonal Malaria Chemoprevention (SMC)</t>
  </si>
  <si>
    <t>Updated National Malaria Strategic Plan (2018–2020)</t>
  </si>
  <si>
    <t>Integration of RDTs at community level</t>
  </si>
  <si>
    <t>Pilot for malaria vaccine initiated</t>
  </si>
  <si>
    <t>Continued mass ITN campaigns planned</t>
  </si>
  <si>
    <t>REFERENCES LIST</t>
  </si>
  <si>
    <t>NSP</t>
  </si>
  <si>
    <t>Y-2023- DRAFT</t>
  </si>
  <si>
    <t>MOP-PMI</t>
  </si>
  <si>
    <t>PMI country profiles</t>
  </si>
  <si>
    <t>DHS Country Data</t>
  </si>
  <si>
    <t>MIS</t>
  </si>
  <si>
    <t>Mini MIS</t>
  </si>
  <si>
    <t>Micronutrient Survey</t>
  </si>
  <si>
    <t>Special</t>
  </si>
  <si>
    <t>DHS</t>
  </si>
  <si>
    <t>MOP</t>
  </si>
  <si>
    <t>RHIS *** no official data</t>
  </si>
  <si>
    <t>RHIS</t>
  </si>
  <si>
    <t>BFA DISTR PALU</t>
  </si>
  <si>
    <t>UK Department for International Develop</t>
  </si>
  <si>
    <t>Dangote Foundation</t>
  </si>
  <si>
    <t>Mobil Oil</t>
  </si>
  <si>
    <t>Malaria Atlas Project</t>
  </si>
  <si>
    <t>Afriacn Leaders Malaria Alliance</t>
  </si>
  <si>
    <t>Chemonics International</t>
  </si>
  <si>
    <t>PATH</t>
  </si>
  <si>
    <t>Jhpiego</t>
  </si>
  <si>
    <t>Urbanization</t>
  </si>
  <si>
    <t>Median Age</t>
  </si>
  <si>
    <t>Incidence (/1000 people)</t>
  </si>
  <si>
    <t>Population at risk</t>
  </si>
  <si>
    <t xml:space="preserve">Population </t>
  </si>
  <si>
    <t>Prevalence rate (Pfpr6-59)</t>
  </si>
  <si>
    <t xml:space="preserve">Rainfall, Political Instability </t>
  </si>
  <si>
    <t>Rainfall, Atitude , Cyclones</t>
  </si>
  <si>
    <t>Sudanese and Sahelian</t>
  </si>
  <si>
    <t>Tropical to Subtropical</t>
  </si>
  <si>
    <t>Sahelian to Rainforest</t>
  </si>
  <si>
    <t>Tested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</si>
</sst>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_(* #,##0.0_);_(* \(#,##0.0\);_(* &quot;-&quot;??_);_(@_)"/>
    <numFmt numFmtId="166" formatCode="0.0"/>
  </numFmts>
  <fonts count="32" x14ac:knownFonts="1">
    <font>
      <sz val="11"/>
      <color theme="1"/>
      <name val="Calibri"/>
      <family val="2"/>
      <scheme val="minor"/>
    </font>
    <font>
      <b/>
      <sz val="12"/>
      <color theme="1"/>
      <name val="Arial"/>
      <family val="2"/>
    </font>
    <font>
      <sz val="12"/>
      <color theme="1"/>
      <name val="Arial"/>
      <family val="2"/>
    </font>
    <font>
      <sz val="11"/>
      <color theme="1"/>
      <name val="Calibri"/>
      <family val="2"/>
      <scheme val="minor"/>
    </font>
    <font>
      <b/>
      <sz val="11"/>
      <color theme="1"/>
      <name val="Calibri"/>
      <family val="2"/>
      <scheme val="minor"/>
    </font>
    <font>
      <sz val="11"/>
      <color rgb="FF000000"/>
      <name val="Calibri"/>
      <family val="2"/>
      <scheme val="minor"/>
    </font>
    <font>
      <sz val="12"/>
      <name val="Arial"/>
      <family val="2"/>
    </font>
    <font>
      <b/>
      <sz val="10"/>
      <name val="Calibri"/>
      <family val="2"/>
      <scheme val="minor"/>
    </font>
    <font>
      <b/>
      <sz val="9"/>
      <name val="Calibri"/>
      <family val="2"/>
      <scheme val="minor"/>
    </font>
    <font>
      <sz val="10"/>
      <name val="Calibri"/>
      <family val="2"/>
      <scheme val="minor"/>
    </font>
    <font>
      <b/>
      <sz val="12"/>
      <name val="Arial"/>
      <family val="2"/>
    </font>
    <font>
      <b/>
      <sz val="16"/>
      <name val="Calibri"/>
      <family val="2"/>
      <scheme val="minor"/>
    </font>
    <font>
      <vertAlign val="superscript"/>
      <sz val="10"/>
      <color rgb="FFFF0000"/>
      <name val="Calibri"/>
      <family val="2"/>
      <scheme val="minor"/>
    </font>
    <font>
      <b/>
      <vertAlign val="superscript"/>
      <sz val="10"/>
      <color rgb="FFFF0000"/>
      <name val="Calibri"/>
      <family val="2"/>
      <scheme val="minor"/>
    </font>
    <font>
      <sz val="9"/>
      <color theme="1"/>
      <name val="Calibri"/>
      <family val="2"/>
      <scheme val="minor"/>
    </font>
    <font>
      <u/>
      <sz val="11"/>
      <color theme="10"/>
      <name val="Calibri"/>
      <family val="2"/>
      <scheme val="minor"/>
    </font>
    <font>
      <i/>
      <sz val="12"/>
      <color theme="1"/>
      <name val="Arial"/>
      <family val="2"/>
    </font>
    <font>
      <sz val="10"/>
      <color theme="1"/>
      <name val="Arial"/>
      <family val="2"/>
    </font>
    <font>
      <sz val="12"/>
      <color rgb="FF000000"/>
      <name val="Arial"/>
      <family val="2"/>
    </font>
    <font>
      <vertAlign val="superscript"/>
      <sz val="12"/>
      <name val="Arial"/>
      <family val="2"/>
    </font>
    <font>
      <vertAlign val="superscript"/>
      <sz val="12"/>
      <color rgb="FF000000"/>
      <name val="Arial"/>
      <family val="2"/>
    </font>
    <font>
      <b/>
      <sz val="12"/>
      <color rgb="FF000000"/>
      <name val="Arial"/>
      <family val="2"/>
    </font>
    <font>
      <b/>
      <sz val="12"/>
      <color rgb="FFFF0000"/>
      <name val="Arial"/>
      <family val="2"/>
    </font>
    <font>
      <b/>
      <vertAlign val="superscript"/>
      <sz val="12"/>
      <color rgb="FFFF0000"/>
      <name val="Arial"/>
      <family val="2"/>
    </font>
    <font>
      <vertAlign val="superscript"/>
      <sz val="12"/>
      <color rgb="FFFF0000"/>
      <name val="Arial"/>
      <family val="2"/>
    </font>
    <font>
      <b/>
      <i/>
      <sz val="12"/>
      <name val="Arial"/>
      <family val="2"/>
    </font>
    <font>
      <i/>
      <sz val="12"/>
      <name val="Arial"/>
      <family val="2"/>
    </font>
    <font>
      <b/>
      <sz val="12"/>
      <color rgb="FF6F7170"/>
      <name val="Arial"/>
      <family val="2"/>
    </font>
    <font>
      <b/>
      <sz val="14"/>
      <color rgb="FF073763"/>
      <name val="Arial"/>
      <family val="2"/>
    </font>
    <font>
      <sz val="11"/>
      <color rgb="FF7F6000"/>
      <name val="Arial"/>
      <family val="2"/>
    </font>
    <font>
      <sz val="11"/>
      <color theme="1"/>
      <name val="Georgia"/>
      <family val="1"/>
    </font>
    <font>
      <b/>
      <sz val="12"/>
      <color rgb="FF6AA84F"/>
      <name val="Arial"/>
      <family val="2"/>
    </font>
  </fonts>
  <fills count="26">
    <fill>
      <patternFill patternType="none"/>
    </fill>
    <fill>
      <patternFill patternType="gray125"/>
    </fill>
    <fill>
      <patternFill patternType="solid">
        <fgColor theme="3" tint="0.79998168889431442"/>
        <bgColor indexed="64"/>
      </patternFill>
    </fill>
    <fill>
      <patternFill patternType="solid">
        <fgColor rgb="FFD9D9D9"/>
        <bgColor rgb="FF000000"/>
      </patternFill>
    </fill>
    <fill>
      <patternFill patternType="solid">
        <fgColor theme="4" tint="0.79998168889431442"/>
        <bgColor indexed="64"/>
      </patternFill>
    </fill>
    <fill>
      <patternFill patternType="solid">
        <fgColor rgb="FFA5A5A5"/>
        <bgColor rgb="FF000000"/>
      </patternFill>
    </fill>
    <fill>
      <patternFill patternType="solid">
        <fgColor theme="4" tint="0.59999389629810485"/>
        <bgColor indexed="64"/>
      </patternFill>
    </fill>
    <fill>
      <patternFill patternType="solid">
        <fgColor theme="2" tint="-0.249977111117893"/>
        <bgColor indexed="64"/>
      </patternFill>
    </fill>
    <fill>
      <patternFill patternType="solid">
        <fgColor theme="9" tint="0.79998168889431442"/>
        <bgColor theme="5" tint="0.79998168889431442"/>
      </patternFill>
    </fill>
    <fill>
      <patternFill patternType="solid">
        <fgColor theme="0"/>
        <bgColor theme="5" tint="0.79998168889431442"/>
      </patternFill>
    </fill>
    <fill>
      <patternFill patternType="solid">
        <fgColor theme="0"/>
        <bgColor indexed="64"/>
      </patternFill>
    </fill>
    <fill>
      <patternFill patternType="solid">
        <fgColor theme="6" tint="0.59999389629810485"/>
        <bgColor indexed="64"/>
      </patternFill>
    </fill>
    <fill>
      <patternFill patternType="solid">
        <fgColor theme="2" tint="-9.9978637043366805E-2"/>
        <bgColor indexed="64"/>
      </patternFill>
    </fill>
    <fill>
      <patternFill patternType="solid">
        <fgColor theme="0" tint="-0.249977111117893"/>
        <bgColor indexed="64"/>
      </patternFill>
    </fill>
    <fill>
      <patternFill patternType="solid">
        <fgColor theme="2"/>
        <bgColor indexed="64"/>
      </patternFill>
    </fill>
    <fill>
      <patternFill patternType="solid">
        <fgColor theme="2"/>
        <bgColor rgb="FF000000"/>
      </patternFill>
    </fill>
    <fill>
      <patternFill patternType="solid">
        <fgColor theme="9" tint="0.79998168889431442"/>
        <bgColor indexed="64"/>
      </patternFill>
    </fill>
    <fill>
      <patternFill patternType="solid">
        <fgColor rgb="FFC0C0C0"/>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8"/>
        <bgColor indexed="64"/>
      </patternFill>
    </fill>
    <fill>
      <patternFill patternType="solid">
        <fgColor rgb="FF606C8E"/>
        <bgColor indexed="64"/>
      </patternFill>
    </fill>
    <fill>
      <patternFill patternType="solid">
        <fgColor theme="7"/>
        <bgColor indexed="64"/>
      </patternFill>
    </fill>
    <fill>
      <patternFill patternType="solid">
        <fgColor theme="4"/>
        <bgColor indexed="64"/>
      </patternFill>
    </fill>
    <fill>
      <patternFill patternType="solid">
        <fgColor theme="5" tint="0.79998168889431442"/>
        <bgColor indexed="64"/>
      </patternFill>
    </fill>
    <fill>
      <patternFill patternType="solid">
        <fgColor rgb="FFFFF2CC"/>
        <bgColor indexed="64"/>
      </patternFill>
    </fill>
  </fills>
  <borders count="53">
    <border>
      <left/>
      <right/>
      <top/>
      <bottom/>
      <diagonal/>
    </border>
    <border>
      <left style="thin">
        <color rgb="FF000000"/>
      </left>
      <right/>
      <top/>
      <bottom style="thin">
        <color rgb="FF000000"/>
      </bottom>
      <diagonal/>
    </border>
    <border>
      <left/>
      <right style="medium">
        <color indexed="64"/>
      </right>
      <top/>
      <bottom style="thin">
        <color rgb="FF000000"/>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right/>
      <top style="thin">
        <color rgb="FF000000"/>
      </top>
      <bottom/>
      <diagonal/>
    </border>
    <border>
      <left/>
      <right style="thin">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right/>
      <top/>
      <bottom style="thin">
        <color rgb="FF000000"/>
      </bottom>
      <diagonal/>
    </border>
    <border>
      <left style="thin">
        <color indexed="64"/>
      </left>
      <right style="thick">
        <color indexed="64"/>
      </right>
      <top/>
      <bottom style="medium">
        <color indexed="64"/>
      </bottom>
      <diagonal/>
    </border>
    <border>
      <left/>
      <right/>
      <top/>
      <bottom style="thin">
        <color indexed="64"/>
      </bottom>
      <diagonal/>
    </border>
    <border>
      <left style="thin">
        <color indexed="64"/>
      </left>
      <right/>
      <top/>
      <bottom style="thin">
        <color indexed="64"/>
      </bottom>
      <diagonal/>
    </border>
    <border>
      <left style="thin">
        <color indexed="64"/>
      </left>
      <right/>
      <top style="medium">
        <color indexed="64"/>
      </top>
      <bottom style="medium">
        <color indexed="64"/>
      </bottom>
      <diagonal/>
    </border>
    <border>
      <left style="thin">
        <color rgb="FF000000"/>
      </left>
      <right/>
      <top style="thin">
        <color rgb="FF000000"/>
      </top>
      <bottom/>
      <diagonal/>
    </border>
    <border>
      <left/>
      <right style="thin">
        <color indexed="64"/>
      </right>
      <top/>
      <bottom/>
      <diagonal/>
    </border>
    <border>
      <left style="thin">
        <color rgb="FF000000"/>
      </left>
      <right/>
      <top/>
      <bottom/>
      <diagonal/>
    </border>
    <border>
      <left style="thin">
        <color indexed="64"/>
      </left>
      <right style="thin">
        <color indexed="64"/>
      </right>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rgb="FF000000"/>
      </left>
      <right style="thin">
        <color indexed="64"/>
      </right>
      <top style="thin">
        <color rgb="FF000000"/>
      </top>
      <bottom/>
      <diagonal/>
    </border>
    <border>
      <left style="medium">
        <color indexed="64"/>
      </left>
      <right/>
      <top/>
      <bottom/>
      <diagonal/>
    </border>
    <border>
      <left style="thin">
        <color rgb="FF000000"/>
      </left>
      <right style="thin">
        <color indexed="64"/>
      </right>
      <top/>
      <bottom/>
      <diagonal/>
    </border>
    <border>
      <left/>
      <right style="medium">
        <color indexed="64"/>
      </right>
      <top style="medium">
        <color indexed="64"/>
      </top>
      <bottom style="medium">
        <color indexed="64"/>
      </bottom>
      <diagonal/>
    </border>
    <border>
      <left style="thin">
        <color rgb="FF000000"/>
      </left>
      <right style="thin">
        <color indexed="64"/>
      </right>
      <top/>
      <bottom style="thin">
        <color rgb="FF000000"/>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thin">
        <color theme="5" tint="0.39997558519241921"/>
      </top>
      <bottom style="thin">
        <color theme="5" tint="0.39997558519241921"/>
      </bottom>
      <diagonal/>
    </border>
    <border>
      <left/>
      <right/>
      <top style="medium">
        <color indexed="64"/>
      </top>
      <bottom style="medium">
        <color indexed="64"/>
      </bottom>
      <diagonal/>
    </border>
    <border>
      <left/>
      <right style="medium">
        <color indexed="64"/>
      </right>
      <top style="thin">
        <color theme="5" tint="0.39997558519241921"/>
      </top>
      <bottom style="thin">
        <color theme="5" tint="0.39997558519241921"/>
      </bottom>
      <diagonal/>
    </border>
    <border>
      <left/>
      <right/>
      <top style="medium">
        <color indexed="64"/>
      </top>
      <bottom/>
      <diagonal/>
    </border>
    <border>
      <left/>
      <right/>
      <top style="thin">
        <color theme="5" tint="0.39997558519241921"/>
      </top>
      <bottom style="medium">
        <color indexed="64"/>
      </bottom>
      <diagonal/>
    </border>
    <border>
      <left/>
      <right/>
      <top style="thin">
        <color theme="5" tint="0.39997558519241921"/>
      </top>
      <bottom style="thin">
        <color theme="5" tint="0.39997558519241921"/>
      </bottom>
      <diagonal/>
    </border>
    <border>
      <left/>
      <right/>
      <top/>
      <bottom style="medium">
        <color indexed="64"/>
      </bottom>
      <diagonal/>
    </border>
    <border>
      <left/>
      <right style="medium">
        <color indexed="64"/>
      </right>
      <top style="thin">
        <color theme="5" tint="0.39997558519241921"/>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theme="5" tint="0.39997558519241921"/>
      </top>
      <bottom style="medium">
        <color indexed="64"/>
      </bottom>
      <diagonal/>
    </border>
    <border>
      <left style="medium">
        <color indexed="64"/>
      </left>
      <right style="medium">
        <color indexed="64"/>
      </right>
      <top style="thin">
        <color theme="5" tint="0.39997558519241921"/>
      </top>
      <bottom style="thin">
        <color theme="5" tint="0.39997558519241921"/>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theme="5" tint="0.39997558519241921"/>
      </top>
      <bottom style="medium">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bottom style="thin">
        <color indexed="64"/>
      </bottom>
      <diagonal/>
    </border>
    <border>
      <left style="medium">
        <color rgb="FFCCCCCC"/>
      </left>
      <right style="medium">
        <color rgb="FFCCCCCC"/>
      </right>
      <top style="medium">
        <color rgb="FFCCCCCC"/>
      </top>
      <bottom style="medium">
        <color rgb="FFCCCCCC"/>
      </bottom>
      <diagonal/>
    </border>
  </borders>
  <cellStyleXfs count="4">
    <xf numFmtId="0" fontId="0" fillId="0" borderId="0"/>
    <xf numFmtId="43" fontId="3" fillId="0" borderId="0" applyFont="0" applyFill="0" applyBorder="0" applyAlignment="0" applyProtection="0"/>
    <xf numFmtId="0" fontId="5" fillId="0" borderId="0"/>
    <xf numFmtId="0" fontId="15" fillId="0" borderId="0" applyNumberFormat="0" applyFill="0" applyBorder="0" applyAlignment="0" applyProtection="0"/>
  </cellStyleXfs>
  <cellXfs count="254">
    <xf numFmtId="0" fontId="0" fillId="0" borderId="0" xfId="0"/>
    <xf numFmtId="0" fontId="1" fillId="0" borderId="0" xfId="0" applyFont="1"/>
    <xf numFmtId="0" fontId="2" fillId="0" borderId="0" xfId="0" applyFont="1"/>
    <xf numFmtId="0" fontId="2" fillId="0" borderId="0" xfId="0" applyFont="1" applyAlignment="1">
      <alignment wrapText="1"/>
    </xf>
    <xf numFmtId="0" fontId="6" fillId="0" borderId="0" xfId="0" applyFont="1"/>
    <xf numFmtId="0" fontId="6" fillId="0" borderId="0" xfId="0" applyFont="1" applyAlignment="1">
      <alignment horizontal="right"/>
    </xf>
    <xf numFmtId="0" fontId="9" fillId="0" borderId="0" xfId="0" applyFont="1"/>
    <xf numFmtId="3" fontId="9" fillId="0" borderId="0" xfId="0" applyNumberFormat="1" applyFont="1" applyAlignment="1">
      <alignment horizontal="right"/>
    </xf>
    <xf numFmtId="0" fontId="7" fillId="0" borderId="0" xfId="0" applyFont="1"/>
    <xf numFmtId="0" fontId="7" fillId="0" borderId="0" xfId="0" applyFont="1" applyAlignment="1">
      <alignment horizontal="center"/>
    </xf>
    <xf numFmtId="0" fontId="12" fillId="0" borderId="0" xfId="0" applyFont="1"/>
    <xf numFmtId="0" fontId="9" fillId="0" borderId="0" xfId="0" applyFont="1" applyAlignment="1">
      <alignment horizontal="center"/>
    </xf>
    <xf numFmtId="0" fontId="14" fillId="0" borderId="0" xfId="0" applyFont="1"/>
    <xf numFmtId="3" fontId="14" fillId="0" borderId="0" xfId="0" applyNumberFormat="1" applyFont="1" applyAlignment="1">
      <alignment horizontal="right"/>
    </xf>
    <xf numFmtId="0" fontId="7" fillId="0" borderId="12" xfId="0" applyFont="1" applyBorder="1"/>
    <xf numFmtId="0" fontId="13" fillId="0" borderId="0" xfId="0" applyFont="1" applyAlignment="1">
      <alignment horizontal="center"/>
    </xf>
    <xf numFmtId="0" fontId="8" fillId="0" borderId="0" xfId="0" applyFont="1" applyAlignment="1">
      <alignment horizontal="center"/>
    </xf>
    <xf numFmtId="0" fontId="8" fillId="0" borderId="12" xfId="0" applyFont="1" applyBorder="1" applyAlignment="1">
      <alignment horizontal="left" vertical="top" wrapText="1"/>
    </xf>
    <xf numFmtId="0" fontId="8" fillId="21" borderId="7" xfId="0" applyFont="1" applyFill="1" applyBorder="1" applyAlignment="1">
      <alignment vertical="top" wrapText="1"/>
    </xf>
    <xf numFmtId="0" fontId="4" fillId="14" borderId="0" xfId="0" applyFont="1" applyFill="1"/>
    <xf numFmtId="3" fontId="6" fillId="0" borderId="0" xfId="0" applyNumberFormat="1" applyFont="1"/>
    <xf numFmtId="0" fontId="4" fillId="0" borderId="7" xfId="0" applyFont="1" applyBorder="1" applyAlignment="1">
      <alignment horizontal="center" vertical="top"/>
    </xf>
    <xf numFmtId="0" fontId="10" fillId="0" borderId="0" xfId="0" applyFont="1"/>
    <xf numFmtId="0" fontId="18" fillId="0" borderId="0" xfId="0" applyFont="1"/>
    <xf numFmtId="0" fontId="6" fillId="0" borderId="3" xfId="0" applyFont="1" applyBorder="1" applyAlignment="1">
      <alignment wrapText="1"/>
    </xf>
    <xf numFmtId="0" fontId="6" fillId="0" borderId="3" xfId="0" applyFont="1" applyBorder="1" applyAlignment="1">
      <alignment vertical="center" wrapText="1"/>
    </xf>
    <xf numFmtId="0" fontId="10" fillId="0" borderId="4" xfId="0" applyFont="1" applyBorder="1" applyAlignment="1">
      <alignment vertical="center" wrapText="1"/>
    </xf>
    <xf numFmtId="0" fontId="1" fillId="0" borderId="0" xfId="0" applyFont="1" applyAlignment="1">
      <alignment vertical="center" wrapText="1"/>
    </xf>
    <xf numFmtId="0" fontId="10" fillId="2" borderId="6" xfId="0" applyFont="1" applyFill="1" applyBorder="1" applyAlignment="1">
      <alignment horizontal="center" vertical="center" wrapText="1"/>
    </xf>
    <xf numFmtId="1" fontId="6" fillId="0" borderId="7" xfId="1" applyNumberFormat="1" applyFont="1" applyFill="1" applyBorder="1" applyAlignment="1">
      <alignment horizontal="right" vertical="center" wrapText="1"/>
    </xf>
    <xf numFmtId="164" fontId="6" fillId="0" borderId="7" xfId="1" applyNumberFormat="1" applyFont="1" applyFill="1" applyBorder="1" applyAlignment="1">
      <alignment horizontal="right" vertical="center"/>
    </xf>
    <xf numFmtId="164" fontId="6" fillId="0" borderId="7" xfId="1" applyNumberFormat="1" applyFont="1" applyFill="1" applyBorder="1" applyAlignment="1">
      <alignment horizontal="right" vertical="center" wrapText="1"/>
    </xf>
    <xf numFmtId="164" fontId="1" fillId="0" borderId="8" xfId="1" applyNumberFormat="1" applyFont="1" applyFill="1" applyBorder="1" applyAlignment="1">
      <alignment horizontal="right" vertical="center" wrapText="1"/>
    </xf>
    <xf numFmtId="164" fontId="1" fillId="0" borderId="0" xfId="1" applyNumberFormat="1" applyFont="1" applyFill="1" applyBorder="1" applyAlignment="1">
      <alignment horizontal="right" vertical="center"/>
    </xf>
    <xf numFmtId="164" fontId="2" fillId="0" borderId="0" xfId="1" applyNumberFormat="1" applyFont="1" applyFill="1" applyBorder="1" applyAlignment="1">
      <alignment horizontal="center" vertical="center"/>
    </xf>
    <xf numFmtId="0" fontId="10" fillId="2" borderId="9" xfId="0" applyFont="1" applyFill="1" applyBorder="1" applyAlignment="1">
      <alignment horizontal="center" vertical="center" wrapText="1"/>
    </xf>
    <xf numFmtId="164" fontId="6" fillId="0" borderId="7" xfId="1" applyNumberFormat="1" applyFont="1" applyFill="1" applyBorder="1"/>
    <xf numFmtId="0" fontId="6" fillId="0" borderId="7" xfId="1" applyNumberFormat="1" applyFont="1" applyFill="1" applyBorder="1" applyAlignment="1">
      <alignment horizontal="right" vertical="center" wrapText="1"/>
    </xf>
    <xf numFmtId="164" fontId="1" fillId="0" borderId="8" xfId="1" applyNumberFormat="1" applyFont="1" applyFill="1" applyBorder="1" applyAlignment="1">
      <alignment horizontal="right" vertical="center"/>
    </xf>
    <xf numFmtId="0" fontId="10" fillId="2" borderId="11" xfId="0" applyFont="1" applyFill="1" applyBorder="1" applyAlignment="1">
      <alignment horizontal="center" vertical="center" wrapText="1"/>
    </xf>
    <xf numFmtId="164" fontId="6" fillId="0" borderId="12" xfId="1" applyNumberFormat="1" applyFont="1" applyFill="1" applyBorder="1" applyAlignment="1">
      <alignment horizontal="right" vertical="center"/>
    </xf>
    <xf numFmtId="164" fontId="6" fillId="0" borderId="13" xfId="1" applyNumberFormat="1" applyFont="1" applyFill="1" applyBorder="1" applyAlignment="1">
      <alignment horizontal="right" vertical="center"/>
    </xf>
    <xf numFmtId="164" fontId="1" fillId="0" borderId="14" xfId="1" applyNumberFormat="1" applyFont="1" applyFill="1" applyBorder="1" applyAlignment="1">
      <alignment horizontal="right" vertical="center"/>
    </xf>
    <xf numFmtId="43" fontId="1" fillId="0" borderId="0" xfId="1" applyFont="1" applyFill="1" applyBorder="1" applyAlignment="1">
      <alignment horizontal="right" vertical="center"/>
    </xf>
    <xf numFmtId="0" fontId="2" fillId="0" borderId="0" xfId="0" applyFont="1" applyAlignment="1">
      <alignment horizontal="center" vertical="center"/>
    </xf>
    <xf numFmtId="0" fontId="10" fillId="2" borderId="16" xfId="0" applyFont="1" applyFill="1" applyBorder="1" applyAlignment="1">
      <alignment horizontal="center" vertical="center" wrapText="1"/>
    </xf>
    <xf numFmtId="0" fontId="6" fillId="0" borderId="3" xfId="1" applyNumberFormat="1" applyFont="1" applyFill="1" applyBorder="1" applyAlignment="1">
      <alignment horizontal="right" vertical="center"/>
    </xf>
    <xf numFmtId="164" fontId="6" fillId="0" borderId="3" xfId="1" applyNumberFormat="1" applyFont="1" applyFill="1" applyBorder="1" applyAlignment="1">
      <alignment horizontal="right" vertical="center"/>
    </xf>
    <xf numFmtId="164" fontId="6" fillId="0" borderId="3" xfId="1" applyNumberFormat="1" applyFont="1" applyFill="1" applyBorder="1" applyAlignment="1">
      <alignment horizontal="right" vertical="center" wrapText="1"/>
    </xf>
    <xf numFmtId="164" fontId="1" fillId="0" borderId="4" xfId="1" applyNumberFormat="1" applyFont="1" applyFill="1" applyBorder="1" applyAlignment="1">
      <alignment horizontal="right" vertical="center" wrapText="1"/>
    </xf>
    <xf numFmtId="0" fontId="10" fillId="2" borderId="18" xfId="0" applyFont="1" applyFill="1" applyBorder="1" applyAlignment="1">
      <alignment horizontal="center" vertical="center" wrapText="1"/>
    </xf>
    <xf numFmtId="1" fontId="6" fillId="0" borderId="19" xfId="1" applyNumberFormat="1" applyFont="1" applyFill="1" applyBorder="1" applyAlignment="1">
      <alignment horizontal="right" vertical="center" wrapText="1"/>
    </xf>
    <xf numFmtId="164" fontId="6" fillId="0" borderId="19" xfId="1" applyNumberFormat="1" applyFont="1" applyFill="1" applyBorder="1" applyAlignment="1">
      <alignment horizontal="right" vertical="center" wrapText="1"/>
    </xf>
    <xf numFmtId="165" fontId="10" fillId="0" borderId="20" xfId="1" applyNumberFormat="1" applyFont="1" applyFill="1" applyBorder="1" applyAlignment="1">
      <alignment horizontal="right" vertical="center" wrapText="1"/>
    </xf>
    <xf numFmtId="0" fontId="10" fillId="2" borderId="21" xfId="0" applyFont="1" applyFill="1" applyBorder="1" applyAlignment="1">
      <alignment horizontal="center" vertical="center" wrapText="1"/>
    </xf>
    <xf numFmtId="1" fontId="6" fillId="0" borderId="3" xfId="1" applyNumberFormat="1" applyFont="1" applyFill="1" applyBorder="1" applyAlignment="1">
      <alignment horizontal="right" vertical="center" wrapText="1"/>
    </xf>
    <xf numFmtId="1" fontId="6" fillId="0" borderId="7" xfId="1" applyNumberFormat="1" applyFont="1" applyFill="1" applyBorder="1" applyAlignment="1">
      <alignment horizontal="right" vertical="center"/>
    </xf>
    <xf numFmtId="164" fontId="6" fillId="0" borderId="0" xfId="1" applyNumberFormat="1" applyFont="1" applyFill="1" applyBorder="1" applyAlignment="1">
      <alignment horizontal="center" vertical="center"/>
    </xf>
    <xf numFmtId="0" fontId="6" fillId="0" borderId="7" xfId="1" applyNumberFormat="1" applyFont="1" applyFill="1" applyBorder="1" applyAlignment="1">
      <alignment horizontal="right" vertical="center"/>
    </xf>
    <xf numFmtId="164" fontId="1" fillId="0" borderId="0" xfId="1" applyNumberFormat="1" applyFont="1" applyFill="1" applyBorder="1" applyAlignment="1">
      <alignment horizontal="right" vertical="center" wrapText="1"/>
    </xf>
    <xf numFmtId="164" fontId="16" fillId="0" borderId="0" xfId="1" applyNumberFormat="1" applyFont="1" applyFill="1" applyBorder="1" applyAlignment="1">
      <alignment horizontal="center" vertical="center"/>
    </xf>
    <xf numFmtId="0" fontId="16" fillId="0" borderId="0" xfId="0" applyFont="1" applyAlignment="1">
      <alignment horizontal="center" vertical="center"/>
    </xf>
    <xf numFmtId="0" fontId="10" fillId="2" borderId="22" xfId="0" applyFont="1" applyFill="1" applyBorder="1" applyAlignment="1">
      <alignment horizontal="center" vertical="center" wrapText="1"/>
    </xf>
    <xf numFmtId="0" fontId="6" fillId="0" borderId="19" xfId="1" applyNumberFormat="1" applyFont="1" applyFill="1" applyBorder="1" applyAlignment="1">
      <alignment horizontal="right" vertical="center" wrapText="1"/>
    </xf>
    <xf numFmtId="164" fontId="10" fillId="0" borderId="20" xfId="1" applyNumberFormat="1" applyFont="1" applyFill="1" applyBorder="1" applyAlignment="1">
      <alignment horizontal="right" vertical="center" wrapText="1"/>
    </xf>
    <xf numFmtId="165" fontId="1" fillId="0" borderId="0" xfId="1" applyNumberFormat="1" applyFont="1" applyFill="1" applyBorder="1" applyAlignment="1">
      <alignment horizontal="right" vertical="center" wrapText="1"/>
    </xf>
    <xf numFmtId="164" fontId="6" fillId="0" borderId="24" xfId="1" applyNumberFormat="1" applyFont="1" applyFill="1" applyBorder="1" applyAlignment="1">
      <alignment horizontal="right" vertical="center" wrapText="1"/>
    </xf>
    <xf numFmtId="164" fontId="6" fillId="0" borderId="19" xfId="1" applyNumberFormat="1" applyFont="1" applyFill="1" applyBorder="1" applyAlignment="1">
      <alignment horizontal="right" vertical="center"/>
    </xf>
    <xf numFmtId="164" fontId="10" fillId="0" borderId="26" xfId="1" applyNumberFormat="1" applyFont="1" applyFill="1" applyBorder="1" applyAlignment="1">
      <alignment horizontal="right" vertical="center"/>
    </xf>
    <xf numFmtId="3" fontId="2" fillId="0" borderId="3" xfId="0" applyNumberFormat="1" applyFont="1" applyBorder="1" applyAlignment="1">
      <alignment vertical="top" wrapText="1"/>
    </xf>
    <xf numFmtId="1" fontId="1" fillId="0" borderId="8" xfId="0" applyNumberFormat="1" applyFont="1" applyBorder="1"/>
    <xf numFmtId="0" fontId="21" fillId="0" borderId="0" xfId="0" applyFont="1" applyAlignment="1">
      <alignment vertical="top"/>
    </xf>
    <xf numFmtId="0" fontId="21" fillId="0" borderId="12" xfId="0" applyFont="1" applyBorder="1" applyAlignment="1">
      <alignment horizontal="left" vertical="top" wrapText="1"/>
    </xf>
    <xf numFmtId="1" fontId="18" fillId="0" borderId="0" xfId="0" applyNumberFormat="1" applyFont="1" applyAlignment="1">
      <alignment horizontal="center" vertical="top"/>
    </xf>
    <xf numFmtId="0" fontId="21" fillId="0" borderId="12" xfId="0" applyFont="1" applyBorder="1" applyAlignment="1">
      <alignment horizontal="center" vertical="top" wrapText="1"/>
    </xf>
    <xf numFmtId="0" fontId="21" fillId="4" borderId="12" xfId="0" applyFont="1" applyFill="1" applyBorder="1" applyAlignment="1">
      <alignment horizontal="center" vertical="top" wrapText="1"/>
    </xf>
    <xf numFmtId="3" fontId="18" fillId="0" borderId="0" xfId="0" applyNumberFormat="1" applyFont="1" applyAlignment="1">
      <alignment horizontal="right"/>
    </xf>
    <xf numFmtId="0" fontId="22" fillId="0" borderId="12" xfId="0" applyFont="1" applyBorder="1" applyAlignment="1">
      <alignment horizontal="center" vertical="top" wrapText="1"/>
    </xf>
    <xf numFmtId="3" fontId="24" fillId="0" borderId="0" xfId="0" applyNumberFormat="1" applyFont="1" applyAlignment="1">
      <alignment horizontal="right"/>
    </xf>
    <xf numFmtId="0" fontId="10" fillId="0" borderId="12" xfId="0" applyFont="1" applyBorder="1" applyAlignment="1">
      <alignment vertical="top" wrapText="1"/>
    </xf>
    <xf numFmtId="0" fontId="6" fillId="0" borderId="0" xfId="0" applyFont="1" applyAlignment="1">
      <alignment vertical="top"/>
    </xf>
    <xf numFmtId="0" fontId="6" fillId="0" borderId="0" xfId="0" quotePrefix="1" applyFont="1"/>
    <xf numFmtId="0" fontId="10" fillId="0" borderId="12" xfId="0" applyFont="1" applyBorder="1" applyAlignment="1">
      <alignment horizontal="left" vertical="top" wrapText="1"/>
    </xf>
    <xf numFmtId="0" fontId="6" fillId="0" borderId="0" xfId="0" applyFont="1" applyAlignment="1">
      <alignment horizontal="left"/>
    </xf>
    <xf numFmtId="2" fontId="10" fillId="0" borderId="12" xfId="0" applyNumberFormat="1" applyFont="1" applyBorder="1" applyAlignment="1">
      <alignment horizontal="center" vertical="top" wrapText="1"/>
    </xf>
    <xf numFmtId="3" fontId="6" fillId="0" borderId="0" xfId="0" applyNumberFormat="1" applyFont="1" applyAlignment="1">
      <alignment horizontal="right"/>
    </xf>
    <xf numFmtId="2" fontId="6" fillId="0" borderId="0" xfId="0" applyNumberFormat="1" applyFont="1" applyAlignment="1">
      <alignment horizontal="right"/>
    </xf>
    <xf numFmtId="2" fontId="6" fillId="0" borderId="0" xfId="0" applyNumberFormat="1" applyFont="1" applyAlignment="1">
      <alignment vertical="top"/>
    </xf>
    <xf numFmtId="2" fontId="6" fillId="0" borderId="0" xfId="0" applyNumberFormat="1" applyFont="1"/>
    <xf numFmtId="2" fontId="6" fillId="0" borderId="0" xfId="0" applyNumberFormat="1" applyFont="1" applyAlignment="1">
      <alignment horizontal="left"/>
    </xf>
    <xf numFmtId="0" fontId="10" fillId="0" borderId="12" xfId="0" applyFont="1" applyBorder="1" applyAlignment="1">
      <alignment horizontal="center" vertical="top" wrapText="1"/>
    </xf>
    <xf numFmtId="166" fontId="6" fillId="0" borderId="0" xfId="0" applyNumberFormat="1" applyFont="1" applyAlignment="1">
      <alignment horizontal="right"/>
    </xf>
    <xf numFmtId="0" fontId="10" fillId="8" borderId="33" xfId="0" applyFont="1" applyFill="1" applyBorder="1" applyAlignment="1">
      <alignment wrapText="1"/>
    </xf>
    <xf numFmtId="0" fontId="6" fillId="9" borderId="33" xfId="0" applyFont="1" applyFill="1" applyBorder="1"/>
    <xf numFmtId="0" fontId="6" fillId="10" borderId="33" xfId="0" applyFont="1" applyFill="1" applyBorder="1"/>
    <xf numFmtId="0" fontId="2" fillId="0" borderId="0" xfId="0" applyFont="1" applyAlignment="1">
      <alignment horizontal="left" vertical="top" wrapText="1"/>
    </xf>
    <xf numFmtId="0" fontId="10" fillId="8" borderId="35" xfId="0" applyFont="1" applyFill="1" applyBorder="1" applyAlignment="1">
      <alignment wrapText="1"/>
    </xf>
    <xf numFmtId="0" fontId="6" fillId="9" borderId="35" xfId="0" applyFont="1" applyFill="1" applyBorder="1"/>
    <xf numFmtId="0" fontId="6" fillId="10" borderId="35" xfId="0" applyFont="1" applyFill="1" applyBorder="1"/>
    <xf numFmtId="0" fontId="10" fillId="7" borderId="37" xfId="0" applyFont="1" applyFill="1" applyBorder="1" applyAlignment="1">
      <alignment horizontal="center" vertical="top" wrapText="1"/>
    </xf>
    <xf numFmtId="0" fontId="10" fillId="8" borderId="33" xfId="0" applyFont="1" applyFill="1" applyBorder="1" applyAlignment="1">
      <alignment horizontal="center" wrapText="1"/>
    </xf>
    <xf numFmtId="166" fontId="6" fillId="9" borderId="33" xfId="0" applyNumberFormat="1" applyFont="1" applyFill="1" applyBorder="1" applyAlignment="1">
      <alignment horizontal="center"/>
    </xf>
    <xf numFmtId="166" fontId="6" fillId="10" borderId="33" xfId="0" applyNumberFormat="1" applyFont="1" applyFill="1" applyBorder="1" applyAlignment="1">
      <alignment horizontal="center"/>
    </xf>
    <xf numFmtId="0" fontId="10" fillId="8" borderId="38" xfId="0" applyFont="1" applyFill="1" applyBorder="1" applyAlignment="1">
      <alignment horizontal="center" wrapText="1"/>
    </xf>
    <xf numFmtId="166" fontId="6" fillId="9" borderId="38" xfId="0" applyNumberFormat="1" applyFont="1" applyFill="1" applyBorder="1" applyAlignment="1">
      <alignment horizontal="center"/>
    </xf>
    <xf numFmtId="166" fontId="6" fillId="10" borderId="38" xfId="0" applyNumberFormat="1" applyFont="1" applyFill="1" applyBorder="1" applyAlignment="1">
      <alignment horizontal="center"/>
    </xf>
    <xf numFmtId="0" fontId="10" fillId="7" borderId="40" xfId="0" applyFont="1" applyFill="1" applyBorder="1" applyAlignment="1">
      <alignment horizontal="center" vertical="top" wrapText="1"/>
    </xf>
    <xf numFmtId="0" fontId="10" fillId="8" borderId="35" xfId="0" applyFont="1" applyFill="1" applyBorder="1" applyAlignment="1">
      <alignment horizontal="center" wrapText="1"/>
    </xf>
    <xf numFmtId="166" fontId="6" fillId="9" borderId="35" xfId="0" applyNumberFormat="1" applyFont="1" applyFill="1" applyBorder="1" applyAlignment="1">
      <alignment horizontal="center"/>
    </xf>
    <xf numFmtId="166" fontId="6" fillId="10" borderId="35" xfId="0" applyNumberFormat="1" applyFont="1" applyFill="1" applyBorder="1" applyAlignment="1">
      <alignment horizontal="center"/>
    </xf>
    <xf numFmtId="0" fontId="10" fillId="7" borderId="41" xfId="0" applyFont="1" applyFill="1" applyBorder="1" applyAlignment="1">
      <alignment horizontal="center" vertical="center"/>
    </xf>
    <xf numFmtId="0" fontId="10" fillId="7" borderId="42" xfId="0" applyFont="1" applyFill="1" applyBorder="1" applyAlignment="1">
      <alignment horizontal="center" vertical="top" wrapText="1"/>
    </xf>
    <xf numFmtId="0" fontId="10" fillId="8" borderId="43" xfId="0" applyFont="1" applyFill="1" applyBorder="1" applyAlignment="1">
      <alignment horizontal="center" wrapText="1"/>
    </xf>
    <xf numFmtId="166" fontId="6" fillId="9" borderId="43" xfId="0" applyNumberFormat="1" applyFont="1" applyFill="1" applyBorder="1" applyAlignment="1">
      <alignment horizontal="center"/>
    </xf>
    <xf numFmtId="166" fontId="6" fillId="10" borderId="43" xfId="0" applyNumberFormat="1" applyFont="1" applyFill="1" applyBorder="1" applyAlignment="1">
      <alignment horizontal="center"/>
    </xf>
    <xf numFmtId="0" fontId="10" fillId="7" borderId="46" xfId="0" applyFont="1" applyFill="1" applyBorder="1" applyAlignment="1">
      <alignment horizontal="center" vertical="top" wrapText="1"/>
    </xf>
    <xf numFmtId="0" fontId="6" fillId="11" borderId="0" xfId="0" applyFont="1" applyFill="1"/>
    <xf numFmtId="0" fontId="10" fillId="11" borderId="12" xfId="0" applyFont="1" applyFill="1" applyBorder="1" applyAlignment="1">
      <alignment horizontal="left" wrapText="1"/>
    </xf>
    <xf numFmtId="0" fontId="10" fillId="12" borderId="28" xfId="0" applyFont="1" applyFill="1" applyBorder="1" applyAlignment="1">
      <alignment horizontal="left"/>
    </xf>
    <xf numFmtId="0" fontId="6" fillId="0" borderId="12" xfId="0" applyFont="1" applyBorder="1" applyAlignment="1">
      <alignment horizontal="left"/>
    </xf>
    <xf numFmtId="0" fontId="6" fillId="0" borderId="0" xfId="0" applyFont="1" applyAlignment="1">
      <alignment horizontal="left" vertical="top" wrapText="1"/>
    </xf>
    <xf numFmtId="0" fontId="25" fillId="11" borderId="12" xfId="0" applyFont="1" applyFill="1" applyBorder="1" applyAlignment="1">
      <alignment horizontal="center"/>
    </xf>
    <xf numFmtId="0" fontId="10" fillId="11" borderId="12" xfId="0" applyFont="1" applyFill="1" applyBorder="1" applyAlignment="1">
      <alignment horizontal="center" wrapText="1"/>
    </xf>
    <xf numFmtId="0" fontId="10" fillId="12" borderId="12" xfId="0" applyFont="1" applyFill="1" applyBorder="1" applyAlignment="1">
      <alignment horizontal="center" wrapText="1"/>
    </xf>
    <xf numFmtId="0" fontId="6" fillId="0" borderId="12" xfId="0" applyFont="1" applyBorder="1" applyAlignment="1">
      <alignment horizontal="center"/>
    </xf>
    <xf numFmtId="0" fontId="6" fillId="0" borderId="0" xfId="0" applyFont="1" applyAlignment="1">
      <alignment vertical="center"/>
    </xf>
    <xf numFmtId="0" fontId="6" fillId="0" borderId="0" xfId="0" applyFont="1" applyAlignment="1">
      <alignment wrapText="1"/>
    </xf>
    <xf numFmtId="0" fontId="6" fillId="0" borderId="0" xfId="0" applyFont="1" applyAlignment="1">
      <alignment horizontal="center" vertical="center" wrapText="1"/>
    </xf>
    <xf numFmtId="0" fontId="6" fillId="0" borderId="0" xfId="0" applyFont="1" applyAlignment="1">
      <alignment horizontal="center" vertical="center"/>
    </xf>
    <xf numFmtId="0" fontId="1" fillId="0" borderId="7" xfId="0" applyFont="1" applyBorder="1" applyAlignment="1">
      <alignment vertical="top" wrapText="1"/>
    </xf>
    <xf numFmtId="0" fontId="2" fillId="0" borderId="7" xfId="0" applyFont="1" applyBorder="1" applyAlignment="1">
      <alignment vertical="top" wrapText="1"/>
    </xf>
    <xf numFmtId="0" fontId="6" fillId="0" borderId="7" xfId="0" applyFont="1" applyBorder="1"/>
    <xf numFmtId="0" fontId="6" fillId="0" borderId="0" xfId="2" applyFont="1"/>
    <xf numFmtId="0" fontId="26" fillId="0" borderId="0" xfId="2" applyFont="1"/>
    <xf numFmtId="0" fontId="18" fillId="0" borderId="0" xfId="2" applyFont="1"/>
    <xf numFmtId="0" fontId="2" fillId="14" borderId="7" xfId="0" applyFont="1" applyFill="1" applyBorder="1" applyAlignment="1">
      <alignment horizontal="center" vertical="top" wrapText="1"/>
    </xf>
    <xf numFmtId="0" fontId="6" fillId="0" borderId="7" xfId="0" applyFont="1" applyBorder="1" applyAlignment="1">
      <alignment horizontal="center"/>
    </xf>
    <xf numFmtId="0" fontId="18" fillId="15" borderId="7" xfId="2" applyFont="1" applyFill="1" applyBorder="1" applyAlignment="1">
      <alignment horizontal="center" vertical="top" wrapText="1"/>
    </xf>
    <xf numFmtId="0" fontId="10" fillId="0" borderId="0" xfId="0" applyFont="1" applyAlignment="1">
      <alignment horizontal="center"/>
    </xf>
    <xf numFmtId="0" fontId="10" fillId="16" borderId="0" xfId="0" applyFont="1" applyFill="1" applyAlignment="1">
      <alignment horizontal="left" wrapText="1"/>
    </xf>
    <xf numFmtId="3" fontId="6" fillId="0" borderId="12" xfId="0" applyNumberFormat="1" applyFont="1" applyBorder="1" applyAlignment="1">
      <alignment horizontal="left"/>
    </xf>
    <xf numFmtId="0" fontId="10" fillId="0" borderId="0" xfId="0" applyFont="1" applyAlignment="1">
      <alignment horizontal="left"/>
    </xf>
    <xf numFmtId="0" fontId="10" fillId="0" borderId="50" xfId="0" applyFont="1" applyBorder="1" applyAlignment="1">
      <alignment horizontal="center" vertical="top" wrapText="1"/>
    </xf>
    <xf numFmtId="3" fontId="6" fillId="0" borderId="12" xfId="0" applyNumberFormat="1" applyFont="1" applyBorder="1" applyAlignment="1">
      <alignment horizontal="right"/>
    </xf>
    <xf numFmtId="0" fontId="23" fillId="0" borderId="50" xfId="0" applyFont="1" applyBorder="1" applyAlignment="1">
      <alignment horizontal="center" vertical="top" wrapText="1"/>
    </xf>
    <xf numFmtId="0" fontId="23" fillId="0" borderId="12" xfId="0" applyFont="1" applyBorder="1" applyAlignment="1">
      <alignment horizontal="center" vertical="top" wrapText="1"/>
    </xf>
    <xf numFmtId="3" fontId="19" fillId="0" borderId="12" xfId="0" applyNumberFormat="1" applyFont="1" applyBorder="1" applyAlignment="1">
      <alignment horizontal="right"/>
    </xf>
    <xf numFmtId="0" fontId="24" fillId="0" borderId="0" xfId="0" applyFont="1" applyAlignment="1">
      <alignment horizontal="right"/>
    </xf>
    <xf numFmtId="0" fontId="24" fillId="0" borderId="0" xfId="0" applyFont="1"/>
    <xf numFmtId="0" fontId="23" fillId="0" borderId="12" xfId="0" applyFont="1" applyBorder="1" applyAlignment="1">
      <alignment horizontal="center"/>
    </xf>
    <xf numFmtId="0" fontId="10" fillId="18" borderId="12" xfId="0" applyFont="1" applyFill="1" applyBorder="1" applyAlignment="1">
      <alignment horizontal="center"/>
    </xf>
    <xf numFmtId="3" fontId="6" fillId="0" borderId="0" xfId="0" applyNumberFormat="1" applyFont="1" applyAlignment="1">
      <alignment horizontal="center"/>
    </xf>
    <xf numFmtId="0" fontId="6" fillId="0" borderId="0" xfId="0" applyFont="1" applyAlignment="1">
      <alignment horizontal="center"/>
    </xf>
    <xf numFmtId="0" fontId="1" fillId="0" borderId="12" xfId="0" applyFont="1" applyBorder="1" applyAlignment="1">
      <alignment wrapText="1"/>
    </xf>
    <xf numFmtId="0" fontId="10" fillId="17" borderId="12" xfId="0" applyFont="1" applyFill="1" applyBorder="1"/>
    <xf numFmtId="0" fontId="2" fillId="13" borderId="0" xfId="0" applyFont="1" applyFill="1"/>
    <xf numFmtId="0" fontId="1" fillId="13" borderId="50" xfId="0" applyFont="1" applyFill="1" applyBorder="1"/>
    <xf numFmtId="0" fontId="2" fillId="0" borderId="0" xfId="0" quotePrefix="1" applyFont="1"/>
    <xf numFmtId="0" fontId="2" fillId="10" borderId="0" xfId="0" applyFont="1" applyFill="1"/>
    <xf numFmtId="0" fontId="1" fillId="0" borderId="12" xfId="0" applyFont="1" applyBorder="1"/>
    <xf numFmtId="0" fontId="6" fillId="17" borderId="51" xfId="0" applyFont="1" applyFill="1" applyBorder="1"/>
    <xf numFmtId="3" fontId="2" fillId="0" borderId="0" xfId="0" applyNumberFormat="1" applyFont="1" applyAlignment="1">
      <alignment horizontal="right"/>
    </xf>
    <xf numFmtId="0" fontId="10" fillId="17" borderId="12" xfId="0" applyFont="1" applyFill="1" applyBorder="1" applyAlignment="1">
      <alignment horizontal="right" wrapText="1"/>
    </xf>
    <xf numFmtId="3" fontId="2" fillId="13" borderId="0" xfId="0" applyNumberFormat="1" applyFont="1" applyFill="1"/>
    <xf numFmtId="3" fontId="1" fillId="13" borderId="50" xfId="0" applyNumberFormat="1" applyFont="1" applyFill="1" applyBorder="1"/>
    <xf numFmtId="0" fontId="10" fillId="4" borderId="12" xfId="0" applyFont="1" applyFill="1" applyBorder="1" applyAlignment="1">
      <alignment horizontal="left" wrapText="1"/>
    </xf>
    <xf numFmtId="0" fontId="2" fillId="0" borderId="28" xfId="0" applyFont="1" applyBorder="1"/>
    <xf numFmtId="0" fontId="10" fillId="4" borderId="12" xfId="0" applyFont="1" applyFill="1" applyBorder="1" applyAlignment="1">
      <alignment horizontal="right" wrapText="1"/>
    </xf>
    <xf numFmtId="3" fontId="2" fillId="0" borderId="28" xfId="0" applyNumberFormat="1" applyFont="1" applyBorder="1" applyAlignment="1">
      <alignment horizontal="right"/>
    </xf>
    <xf numFmtId="0" fontId="10" fillId="4" borderId="12" xfId="0" applyFont="1" applyFill="1" applyBorder="1"/>
    <xf numFmtId="0" fontId="10" fillId="20" borderId="12" xfId="0" applyFont="1" applyFill="1" applyBorder="1" applyAlignment="1">
      <alignment horizontal="left" wrapText="1"/>
    </xf>
    <xf numFmtId="0" fontId="6" fillId="0" borderId="12" xfId="0" applyFont="1" applyBorder="1"/>
    <xf numFmtId="0" fontId="10" fillId="20" borderId="12" xfId="0" applyFont="1" applyFill="1" applyBorder="1" applyAlignment="1">
      <alignment horizontal="right" wrapText="1"/>
    </xf>
    <xf numFmtId="0" fontId="10" fillId="20" borderId="12" xfId="0" applyFont="1" applyFill="1" applyBorder="1"/>
    <xf numFmtId="0" fontId="27" fillId="0" borderId="0" xfId="0" applyFont="1"/>
    <xf numFmtId="0" fontId="1" fillId="0" borderId="0" xfId="0" applyFont="1" applyAlignment="1">
      <alignment horizontal="right"/>
    </xf>
    <xf numFmtId="0" fontId="4" fillId="0" borderId="0" xfId="0" applyFont="1" applyAlignment="1">
      <alignment horizontal="center" vertical="center" wrapText="1"/>
    </xf>
    <xf numFmtId="0" fontId="0" fillId="0" borderId="0" xfId="0" applyAlignment="1">
      <alignment vertical="center" wrapText="1"/>
    </xf>
    <xf numFmtId="3" fontId="0" fillId="0" borderId="0" xfId="0" applyNumberFormat="1" applyAlignment="1">
      <alignment vertical="center" wrapText="1"/>
    </xf>
    <xf numFmtId="0" fontId="17" fillId="0" borderId="52" xfId="0" applyFont="1" applyBorder="1" applyAlignment="1">
      <alignment wrapText="1"/>
    </xf>
    <xf numFmtId="0" fontId="28" fillId="0" borderId="52" xfId="0" applyFont="1" applyBorder="1" applyAlignment="1">
      <alignment vertical="center"/>
    </xf>
    <xf numFmtId="0" fontId="29" fillId="0" borderId="52" xfId="0" applyFont="1" applyBorder="1" applyAlignment="1">
      <alignment wrapText="1"/>
    </xf>
    <xf numFmtId="0" fontId="30" fillId="0" borderId="52" xfId="0" applyFont="1" applyBorder="1" applyAlignment="1">
      <alignment wrapText="1"/>
    </xf>
    <xf numFmtId="0" fontId="31" fillId="0" borderId="52" xfId="0" applyFont="1" applyBorder="1" applyAlignment="1">
      <alignment wrapText="1"/>
    </xf>
    <xf numFmtId="0" fontId="22" fillId="0" borderId="52" xfId="0" applyFont="1" applyBorder="1" applyAlignment="1">
      <alignment wrapText="1"/>
    </xf>
    <xf numFmtId="0" fontId="17" fillId="25" borderId="52" xfId="0" applyFont="1" applyFill="1" applyBorder="1" applyAlignment="1">
      <alignment wrapText="1"/>
    </xf>
    <xf numFmtId="0" fontId="15" fillId="0" borderId="52" xfId="3" applyBorder="1" applyAlignment="1">
      <alignment wrapText="1"/>
    </xf>
    <xf numFmtId="166" fontId="1" fillId="14" borderId="0" xfId="0" applyNumberFormat="1" applyFont="1" applyFill="1"/>
    <xf numFmtId="166" fontId="1" fillId="0" borderId="0" xfId="0" applyNumberFormat="1" applyFont="1"/>
    <xf numFmtId="166" fontId="1" fillId="22" borderId="0" xfId="0" applyNumberFormat="1" applyFont="1" applyFill="1"/>
    <xf numFmtId="166" fontId="2" fillId="0" borderId="0" xfId="0" applyNumberFormat="1" applyFont="1"/>
    <xf numFmtId="166" fontId="1" fillId="6" borderId="0" xfId="0" applyNumberFormat="1" applyFont="1" applyFill="1"/>
    <xf numFmtId="166" fontId="2" fillId="0" borderId="0" xfId="0" applyNumberFormat="1" applyFont="1" applyAlignment="1">
      <alignment wrapText="1"/>
    </xf>
    <xf numFmtId="166" fontId="1" fillId="23" borderId="0" xfId="0" applyNumberFormat="1" applyFont="1" applyFill="1"/>
    <xf numFmtId="166" fontId="1" fillId="24" borderId="0" xfId="0" applyNumberFormat="1" applyFont="1" applyFill="1"/>
    <xf numFmtId="0" fontId="0" fillId="0" borderId="0" xfId="0" applyAlignment="1">
      <alignment wrapText="1"/>
    </xf>
    <xf numFmtId="1" fontId="2" fillId="0" borderId="0" xfId="0" applyNumberFormat="1" applyFont="1"/>
    <xf numFmtId="1" fontId="6" fillId="0" borderId="0" xfId="0" applyNumberFormat="1" applyFont="1"/>
    <xf numFmtId="2" fontId="1" fillId="22" borderId="0" xfId="0" applyNumberFormat="1" applyFont="1" applyFill="1"/>
    <xf numFmtId="2" fontId="2" fillId="0" borderId="0" xfId="0" applyNumberFormat="1" applyFont="1"/>
    <xf numFmtId="2" fontId="0" fillId="0" borderId="0" xfId="0" applyNumberFormat="1"/>
    <xf numFmtId="0" fontId="21" fillId="3" borderId="28" xfId="0" applyFont="1" applyFill="1" applyBorder="1" applyAlignment="1">
      <alignment horizontal="center" vertical="top"/>
    </xf>
    <xf numFmtId="0" fontId="21" fillId="3" borderId="29" xfId="0" applyFont="1" applyFill="1" applyBorder="1" applyAlignment="1">
      <alignment horizontal="center" vertical="top"/>
    </xf>
    <xf numFmtId="0" fontId="10" fillId="2" borderId="1"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8" fillId="0" borderId="0" xfId="0" applyFont="1" applyAlignment="1">
      <alignment horizontal="left" wrapText="1"/>
    </xf>
    <xf numFmtId="0" fontId="2" fillId="0" borderId="0" xfId="0" applyFont="1" applyAlignment="1">
      <alignment horizontal="left" wrapText="1"/>
    </xf>
    <xf numFmtId="0" fontId="1" fillId="2" borderId="5" xfId="0" applyFont="1" applyFill="1" applyBorder="1" applyAlignment="1">
      <alignment horizontal="center" vertical="center"/>
    </xf>
    <xf numFmtId="0" fontId="1" fillId="2" borderId="0" xfId="0" applyFont="1" applyFill="1" applyAlignment="1">
      <alignment horizontal="center" vertical="center"/>
    </xf>
    <xf numFmtId="0" fontId="1" fillId="2" borderId="10"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23" xfId="0" applyFont="1" applyFill="1" applyBorder="1" applyAlignment="1">
      <alignment horizontal="center"/>
    </xf>
    <xf numFmtId="0" fontId="1" fillId="2" borderId="25" xfId="0" applyFont="1" applyFill="1" applyBorder="1" applyAlignment="1">
      <alignment horizontal="center"/>
    </xf>
    <xf numFmtId="0" fontId="1" fillId="2" borderId="27" xfId="0" applyFont="1" applyFill="1" applyBorder="1" applyAlignment="1">
      <alignment horizontal="center"/>
    </xf>
    <xf numFmtId="0" fontId="16" fillId="0" borderId="0" xfId="0" applyFont="1" applyAlignment="1">
      <alignment wrapText="1"/>
    </xf>
    <xf numFmtId="0" fontId="10" fillId="7" borderId="34" xfId="0" applyFont="1" applyFill="1" applyBorder="1" applyAlignment="1">
      <alignment horizontal="left" vertical="top" wrapText="1"/>
    </xf>
    <xf numFmtId="0" fontId="10" fillId="7" borderId="26" xfId="0" applyFont="1" applyFill="1" applyBorder="1" applyAlignment="1">
      <alignment horizontal="left" vertical="top" wrapText="1"/>
    </xf>
    <xf numFmtId="0" fontId="10" fillId="7" borderId="36" xfId="0" applyFont="1" applyFill="1" applyBorder="1" applyAlignment="1">
      <alignment horizontal="center" vertical="center"/>
    </xf>
    <xf numFmtId="0" fontId="10" fillId="7" borderId="0" xfId="0" applyFont="1" applyFill="1" applyAlignment="1">
      <alignment horizontal="center" vertical="center"/>
    </xf>
    <xf numFmtId="0" fontId="10" fillId="7" borderId="39" xfId="0" applyFont="1" applyFill="1" applyBorder="1" applyAlignment="1">
      <alignment horizontal="center" vertical="center"/>
    </xf>
    <xf numFmtId="0" fontId="10" fillId="7" borderId="44" xfId="0" applyFont="1" applyFill="1" applyBorder="1" applyAlignment="1">
      <alignment horizontal="center" vertical="center"/>
    </xf>
    <xf numFmtId="0" fontId="10" fillId="7" borderId="45" xfId="0" applyFont="1" applyFill="1" applyBorder="1" applyAlignment="1">
      <alignment horizontal="center" vertical="center"/>
    </xf>
    <xf numFmtId="0" fontId="10" fillId="7" borderId="47" xfId="0" applyFont="1" applyFill="1" applyBorder="1" applyAlignment="1">
      <alignment horizontal="center" vertical="center"/>
    </xf>
    <xf numFmtId="0" fontId="1" fillId="7" borderId="7" xfId="0" applyFont="1" applyFill="1" applyBorder="1" applyAlignment="1">
      <alignment horizontal="center" vertical="top" wrapText="1"/>
    </xf>
    <xf numFmtId="0" fontId="21" fillId="5" borderId="30" xfId="0" applyFont="1" applyFill="1" applyBorder="1" applyAlignment="1">
      <alignment horizontal="center" vertical="top" wrapText="1"/>
    </xf>
    <xf numFmtId="0" fontId="21" fillId="5" borderId="28" xfId="0" applyFont="1" applyFill="1" applyBorder="1" applyAlignment="1">
      <alignment horizontal="center" vertical="top" wrapText="1"/>
    </xf>
    <xf numFmtId="0" fontId="21" fillId="5" borderId="29" xfId="0" applyFont="1" applyFill="1" applyBorder="1" applyAlignment="1">
      <alignment horizontal="center" vertical="top" wrapText="1"/>
    </xf>
    <xf numFmtId="2" fontId="10" fillId="0" borderId="0" xfId="0" applyNumberFormat="1" applyFont="1" applyAlignment="1">
      <alignment horizontal="right"/>
    </xf>
    <xf numFmtId="0" fontId="10" fillId="7" borderId="31" xfId="0" applyFont="1" applyFill="1" applyBorder="1" applyAlignment="1">
      <alignment horizontal="left" vertical="top" wrapText="1"/>
    </xf>
    <xf numFmtId="0" fontId="10" fillId="7" borderId="32" xfId="0" applyFont="1" applyFill="1" applyBorder="1" applyAlignment="1">
      <alignment horizontal="left" vertical="top" wrapText="1"/>
    </xf>
    <xf numFmtId="0" fontId="2" fillId="0" borderId="0" xfId="0" applyFont="1" applyAlignment="1">
      <alignment horizontal="left" vertical="top" wrapText="1"/>
    </xf>
    <xf numFmtId="0" fontId="2" fillId="0" borderId="0" xfId="0" applyFont="1" applyAlignment="1">
      <alignment horizontal="left" vertical="top"/>
    </xf>
    <xf numFmtId="0" fontId="10" fillId="7" borderId="45" xfId="0" applyFont="1" applyFill="1" applyBorder="1" applyAlignment="1">
      <alignment horizontal="center" vertical="center" wrapText="1"/>
    </xf>
    <xf numFmtId="0" fontId="10" fillId="7" borderId="44" xfId="0" applyFont="1" applyFill="1" applyBorder="1" applyAlignment="1">
      <alignment horizontal="center" vertical="center" wrapText="1"/>
    </xf>
    <xf numFmtId="0" fontId="10" fillId="7" borderId="47" xfId="0" applyFont="1" applyFill="1" applyBorder="1" applyAlignment="1">
      <alignment horizontal="center" vertical="center" wrapText="1"/>
    </xf>
    <xf numFmtId="0" fontId="6" fillId="0" borderId="0" xfId="0" applyFont="1" applyAlignment="1">
      <alignment horizontal="left" vertical="top" wrapText="1"/>
    </xf>
    <xf numFmtId="0" fontId="25" fillId="11" borderId="12" xfId="0" applyFont="1" applyFill="1" applyBorder="1" applyAlignment="1">
      <alignment horizontal="center"/>
    </xf>
    <xf numFmtId="2" fontId="10" fillId="0" borderId="0" xfId="0" applyNumberFormat="1" applyFont="1" applyAlignment="1">
      <alignment horizontal="left"/>
    </xf>
    <xf numFmtId="0" fontId="2" fillId="0" borderId="0" xfId="0" applyFont="1" applyAlignment="1">
      <alignment horizontal="left" vertical="center" wrapText="1"/>
    </xf>
    <xf numFmtId="0" fontId="1" fillId="0" borderId="48" xfId="0" applyFont="1" applyBorder="1" applyAlignment="1">
      <alignment horizontal="center" vertical="top" wrapText="1"/>
    </xf>
    <xf numFmtId="0" fontId="2" fillId="0" borderId="49" xfId="0" applyFont="1" applyBorder="1" applyAlignment="1">
      <alignment horizontal="center" vertical="top" wrapText="1"/>
    </xf>
    <xf numFmtId="0" fontId="10" fillId="0" borderId="12" xfId="0" applyFont="1" applyBorder="1" applyAlignment="1">
      <alignment horizontal="center"/>
    </xf>
    <xf numFmtId="0" fontId="10" fillId="0" borderId="50" xfId="0" applyFont="1" applyBorder="1" applyAlignment="1">
      <alignment horizontal="center" vertical="top" wrapText="1"/>
    </xf>
    <xf numFmtId="0" fontId="10" fillId="0" borderId="12" xfId="0" applyFont="1" applyBorder="1" applyAlignment="1">
      <alignment horizontal="center" vertical="top" wrapText="1"/>
    </xf>
    <xf numFmtId="2" fontId="2" fillId="0" borderId="0" xfId="0" applyNumberFormat="1" applyFont="1" applyAlignment="1">
      <alignment wrapText="1"/>
    </xf>
    <xf numFmtId="0" fontId="10" fillId="16" borderId="12" xfId="0" applyFont="1" applyFill="1" applyBorder="1" applyAlignment="1">
      <alignment horizontal="center"/>
    </xf>
    <xf numFmtId="0" fontId="10" fillId="18" borderId="12" xfId="0" applyFont="1" applyFill="1" applyBorder="1" applyAlignment="1">
      <alignment horizontal="center"/>
    </xf>
    <xf numFmtId="0" fontId="10" fillId="19" borderId="12" xfId="0" applyFont="1" applyFill="1" applyBorder="1" applyAlignment="1">
      <alignment horizontal="center"/>
    </xf>
    <xf numFmtId="0" fontId="11" fillId="0" borderId="0" xfId="0" applyFont="1" applyAlignment="1">
      <alignment horizontal="left" vertical="top" wrapText="1"/>
    </xf>
    <xf numFmtId="0" fontId="8" fillId="21" borderId="50" xfId="0" applyFont="1" applyFill="1" applyBorder="1" applyAlignment="1">
      <alignment horizontal="center" vertical="top" wrapText="1"/>
    </xf>
    <xf numFmtId="0" fontId="8" fillId="21" borderId="12" xfId="0" applyFont="1" applyFill="1" applyBorder="1" applyAlignment="1">
      <alignment horizontal="center" vertical="top" wrapText="1"/>
    </xf>
    <xf numFmtId="0" fontId="8" fillId="21" borderId="7" xfId="0" applyFont="1" applyFill="1" applyBorder="1" applyAlignment="1">
      <alignment horizontal="center"/>
    </xf>
  </cellXfs>
  <cellStyles count="4">
    <cellStyle name="Comma" xfId="1" builtinId="3"/>
    <cellStyle name="Hyperlink" xfId="3" builtinId="8"/>
    <cellStyle name="Normal" xfId="0" builtinId="0"/>
    <cellStyle name="Normal 2" xfId="2" xr:uid="{6570E5D8-7F73-4BCD-BEDC-967203D55150}"/>
  </cellStyles>
  <dxfs count="10">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7.xml.rels><?xml version="1.0" encoding="UTF-8" standalone="yes"?>
<Relationships xmlns="http://schemas.openxmlformats.org/package/2006/relationships"><Relationship Id="rId8" Type="http://schemas.openxmlformats.org/officeDocument/2006/relationships/hyperlink" Target="https://drive.google.com/file/d/1pwltiFoG4WESYsBspG4SR4nTJyyrmaE_/view?usp=drive_link" TargetMode="External"/><Relationship Id="rId3" Type="http://schemas.openxmlformats.org/officeDocument/2006/relationships/hyperlink" Target="https://www.dhsprogram.com/Countries/Country-Main.cfm?ctry_id=30" TargetMode="External"/><Relationship Id="rId7" Type="http://schemas.openxmlformats.org/officeDocument/2006/relationships/hyperlink" Target="https://drive.google.com/file/d/1d2OgeKJQFcbhP9wUZsA_CPQaIXXCbJpd/view?usp=drive_link" TargetMode="External"/><Relationship Id="rId12" Type="http://schemas.openxmlformats.org/officeDocument/2006/relationships/hyperlink" Target="https://journals.plos.org/plosone/article?id=10.1371/journal.pone.0290233" TargetMode="External"/><Relationship Id="rId2" Type="http://schemas.openxmlformats.org/officeDocument/2006/relationships/hyperlink" Target="https://www.dhsprogram.com/Countries/Country-Main.cfm?ctry_id=61" TargetMode="External"/><Relationship Id="rId1" Type="http://schemas.openxmlformats.org/officeDocument/2006/relationships/hyperlink" Target="https://www.dhsprogram.com/Countries/Country-Main.cfm?ctry_id=50" TargetMode="External"/><Relationship Id="rId6" Type="http://schemas.openxmlformats.org/officeDocument/2006/relationships/hyperlink" Target="https://www.pmi.gov/fy-2024-nigeria-mop/" TargetMode="External"/><Relationship Id="rId11" Type="http://schemas.openxmlformats.org/officeDocument/2006/relationships/hyperlink" Target="https://drive.google.com/file/d/1Yw29kPMZOB346oP4U8AmxUqoBAuRW9PN/view?usp=drive_link" TargetMode="External"/><Relationship Id="rId5" Type="http://schemas.openxmlformats.org/officeDocument/2006/relationships/hyperlink" Target="https://www.pmi.gov/fy-2024-mozambique-mop-1/" TargetMode="External"/><Relationship Id="rId10" Type="http://schemas.openxmlformats.org/officeDocument/2006/relationships/hyperlink" Target="https://drive.google.com/file/d/1_qfr-xuowp4cPTpSH28I695BYzwLDtKe/view?usp=drive_link" TargetMode="External"/><Relationship Id="rId4" Type="http://schemas.openxmlformats.org/officeDocument/2006/relationships/hyperlink" Target="https://www.pmi.gov/fy-2024-burkina-faso-mop/" TargetMode="External"/><Relationship Id="rId9" Type="http://schemas.openxmlformats.org/officeDocument/2006/relationships/hyperlink" Target="https://drive.google.com/file/d/11LPmPTyprG3LP5XcSKCwDAJ9II2wYIR7/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EF553-4E73-40D7-80D8-9A6C0DE9F688}">
  <sheetPr codeName="Sheet1"/>
  <dimension ref="A1:E46"/>
  <sheetViews>
    <sheetView tabSelected="1" zoomScale="82" zoomScaleNormal="82" workbookViewId="0">
      <selection activeCell="A19" sqref="A19:XFD19"/>
    </sheetView>
  </sheetViews>
  <sheetFormatPr defaultRowHeight="15" x14ac:dyDescent="0.25"/>
  <cols>
    <col min="1" max="1" width="26.140625" style="19" customWidth="1"/>
    <col min="2" max="2" width="37.140625" customWidth="1"/>
    <col min="3" max="3" width="38.42578125" customWidth="1"/>
    <col min="4" max="4" width="42.28515625" customWidth="1"/>
    <col min="5" max="5" width="31.28515625" bestFit="1" customWidth="1"/>
  </cols>
  <sheetData>
    <row r="1" spans="1:5" ht="15.75" x14ac:dyDescent="0.25">
      <c r="A1" s="187" t="s">
        <v>30</v>
      </c>
      <c r="B1" s="188" t="s">
        <v>31</v>
      </c>
      <c r="C1" s="188" t="s">
        <v>4</v>
      </c>
      <c r="D1" s="188" t="s">
        <v>7</v>
      </c>
      <c r="E1" s="188" t="s">
        <v>17</v>
      </c>
    </row>
    <row r="2" spans="1:5" ht="15.75" x14ac:dyDescent="0.25">
      <c r="A2" s="189" t="s">
        <v>32</v>
      </c>
      <c r="B2" s="190" t="s">
        <v>489</v>
      </c>
      <c r="C2" s="196">
        <v>23025776</v>
      </c>
      <c r="D2" s="197">
        <v>33635160</v>
      </c>
      <c r="E2" s="196">
        <v>227882945</v>
      </c>
    </row>
    <row r="3" spans="1:5" s="200" customFormat="1" ht="18.75" x14ac:dyDescent="0.25">
      <c r="A3" s="198" t="s">
        <v>32</v>
      </c>
      <c r="B3" s="199" t="s">
        <v>485</v>
      </c>
      <c r="C3" s="199">
        <v>32.5</v>
      </c>
      <c r="D3" s="199">
        <v>32</v>
      </c>
      <c r="E3" s="199">
        <v>54.28</v>
      </c>
    </row>
    <row r="4" spans="1:5" ht="18.75" x14ac:dyDescent="0.25">
      <c r="A4" s="189" t="s">
        <v>32</v>
      </c>
      <c r="B4" s="190" t="s">
        <v>486</v>
      </c>
      <c r="C4" s="190">
        <v>17.5</v>
      </c>
      <c r="D4" s="190">
        <v>17.600000000000001</v>
      </c>
      <c r="E4" s="190">
        <v>17.899999999999999</v>
      </c>
    </row>
    <row r="5" spans="1:5" ht="18.75" x14ac:dyDescent="0.25">
      <c r="A5" s="189" t="s">
        <v>32</v>
      </c>
      <c r="B5" s="190" t="s">
        <v>490</v>
      </c>
      <c r="C5" s="190">
        <v>28</v>
      </c>
      <c r="D5" s="190">
        <v>32.299999999999997</v>
      </c>
      <c r="E5" s="190">
        <v>39.6</v>
      </c>
    </row>
    <row r="6" spans="1:5" ht="18.75" x14ac:dyDescent="0.25">
      <c r="A6" s="189" t="s">
        <v>32</v>
      </c>
      <c r="B6" s="190" t="s">
        <v>487</v>
      </c>
      <c r="C6" s="190">
        <v>353</v>
      </c>
      <c r="D6" s="190">
        <v>316</v>
      </c>
      <c r="E6" s="190">
        <v>305</v>
      </c>
    </row>
    <row r="7" spans="1:5" ht="18.75" x14ac:dyDescent="0.25">
      <c r="A7" s="189" t="s">
        <v>32</v>
      </c>
      <c r="B7" s="190" t="s">
        <v>488</v>
      </c>
      <c r="C7" s="190">
        <v>23025776</v>
      </c>
      <c r="D7" s="190">
        <v>33635160</v>
      </c>
      <c r="E7" s="190">
        <v>227882945</v>
      </c>
    </row>
    <row r="8" spans="1:5" ht="30.75" customHeight="1" x14ac:dyDescent="0.25">
      <c r="A8" s="191" t="s">
        <v>33</v>
      </c>
      <c r="B8" s="190" t="s">
        <v>422</v>
      </c>
      <c r="C8" s="192" t="s">
        <v>382</v>
      </c>
      <c r="D8" s="192" t="s">
        <v>34</v>
      </c>
      <c r="E8" s="192" t="s">
        <v>382</v>
      </c>
    </row>
    <row r="9" spans="1:5" ht="15.75" x14ac:dyDescent="0.25">
      <c r="A9" s="191" t="s">
        <v>33</v>
      </c>
      <c r="B9" s="190" t="s">
        <v>381</v>
      </c>
      <c r="C9" s="190" t="s">
        <v>35</v>
      </c>
      <c r="D9" s="190" t="s">
        <v>35</v>
      </c>
      <c r="E9" s="190" t="s">
        <v>35</v>
      </c>
    </row>
    <row r="10" spans="1:5" ht="15.75" x14ac:dyDescent="0.25">
      <c r="A10" s="191" t="s">
        <v>33</v>
      </c>
      <c r="B10" s="190" t="s">
        <v>36</v>
      </c>
      <c r="C10" s="190" t="s">
        <v>37</v>
      </c>
      <c r="D10" s="190" t="s">
        <v>383</v>
      </c>
      <c r="E10" s="190"/>
    </row>
    <row r="11" spans="1:5" ht="15.75" x14ac:dyDescent="0.25">
      <c r="A11" s="191" t="s">
        <v>33</v>
      </c>
      <c r="B11" s="190" t="s">
        <v>38</v>
      </c>
      <c r="C11" s="190" t="s">
        <v>491</v>
      </c>
      <c r="D11" s="190" t="s">
        <v>492</v>
      </c>
      <c r="E11" s="190" t="s">
        <v>39</v>
      </c>
    </row>
    <row r="12" spans="1:5" ht="15.75" x14ac:dyDescent="0.25">
      <c r="A12" s="191" t="s">
        <v>33</v>
      </c>
      <c r="B12" s="190" t="s">
        <v>40</v>
      </c>
      <c r="C12" s="190"/>
      <c r="D12" s="190" t="s">
        <v>384</v>
      </c>
      <c r="E12" s="190"/>
    </row>
    <row r="13" spans="1:5" ht="15.75" x14ac:dyDescent="0.25">
      <c r="A13" s="191" t="s">
        <v>33</v>
      </c>
      <c r="B13" s="190" t="s">
        <v>41</v>
      </c>
      <c r="C13" s="190" t="s">
        <v>493</v>
      </c>
      <c r="D13" s="190" t="s">
        <v>494</v>
      </c>
      <c r="E13" s="190" t="s">
        <v>495</v>
      </c>
    </row>
    <row r="14" spans="1:5" ht="15.75" x14ac:dyDescent="0.25">
      <c r="A14" s="193" t="s">
        <v>42</v>
      </c>
      <c r="B14" s="190" t="s">
        <v>44</v>
      </c>
      <c r="C14" s="190" t="s">
        <v>43</v>
      </c>
      <c r="D14" s="190" t="s">
        <v>43</v>
      </c>
      <c r="E14" s="190" t="s">
        <v>43</v>
      </c>
    </row>
    <row r="15" spans="1:5" ht="15.75" x14ac:dyDescent="0.25">
      <c r="A15" s="193" t="s">
        <v>42</v>
      </c>
      <c r="B15" s="190" t="s">
        <v>45</v>
      </c>
      <c r="C15" s="190" t="s">
        <v>43</v>
      </c>
      <c r="D15" s="190" t="s">
        <v>43</v>
      </c>
      <c r="E15" s="190" t="s">
        <v>43</v>
      </c>
    </row>
    <row r="16" spans="1:5" ht="15.75" x14ac:dyDescent="0.25">
      <c r="A16" s="193" t="s">
        <v>42</v>
      </c>
      <c r="B16" s="190" t="s">
        <v>46</v>
      </c>
      <c r="C16" s="190" t="s">
        <v>43</v>
      </c>
      <c r="D16" s="190" t="s">
        <v>43</v>
      </c>
      <c r="E16" s="190" t="s">
        <v>43</v>
      </c>
    </row>
    <row r="17" spans="1:5" ht="15.75" x14ac:dyDescent="0.25">
      <c r="A17" s="193" t="s">
        <v>42</v>
      </c>
      <c r="B17" s="190" t="s">
        <v>47</v>
      </c>
      <c r="C17" s="190" t="s">
        <v>43</v>
      </c>
      <c r="D17" s="190" t="s">
        <v>43</v>
      </c>
      <c r="E17" s="190" t="s">
        <v>43</v>
      </c>
    </row>
    <row r="18" spans="1:5" ht="15.75" x14ac:dyDescent="0.25">
      <c r="A18" s="193" t="s">
        <v>42</v>
      </c>
      <c r="B18" s="190" t="s">
        <v>48</v>
      </c>
      <c r="C18" s="190" t="s">
        <v>43</v>
      </c>
      <c r="D18" s="190" t="s">
        <v>43</v>
      </c>
      <c r="E18" s="190" t="s">
        <v>43</v>
      </c>
    </row>
    <row r="19" spans="1:5" ht="15.75" x14ac:dyDescent="0.25">
      <c r="A19" s="193" t="s">
        <v>42</v>
      </c>
      <c r="B19" s="190" t="s">
        <v>496</v>
      </c>
      <c r="C19" s="190" t="s">
        <v>43</v>
      </c>
      <c r="D19" s="190" t="s">
        <v>43</v>
      </c>
      <c r="E19" s="190" t="s">
        <v>43</v>
      </c>
    </row>
    <row r="20" spans="1:5" ht="15.75" x14ac:dyDescent="0.25">
      <c r="A20" s="193" t="s">
        <v>42</v>
      </c>
      <c r="B20" s="190" t="s">
        <v>371</v>
      </c>
      <c r="C20" s="190" t="s">
        <v>43</v>
      </c>
      <c r="D20" s="190" t="s">
        <v>43</v>
      </c>
      <c r="E20" s="190" t="s">
        <v>43</v>
      </c>
    </row>
    <row r="21" spans="1:5" ht="15.75" x14ac:dyDescent="0.25">
      <c r="A21" s="193" t="s">
        <v>42</v>
      </c>
      <c r="B21" s="190" t="s">
        <v>49</v>
      </c>
      <c r="C21" s="190" t="s">
        <v>43</v>
      </c>
      <c r="D21" s="190" t="s">
        <v>43</v>
      </c>
      <c r="E21" s="190" t="s">
        <v>43</v>
      </c>
    </row>
    <row r="22" spans="1:5" ht="15.75" x14ac:dyDescent="0.25">
      <c r="A22" s="193" t="s">
        <v>42</v>
      </c>
      <c r="B22" s="190" t="s">
        <v>50</v>
      </c>
      <c r="C22" s="190" t="s">
        <v>43</v>
      </c>
      <c r="D22" s="190" t="s">
        <v>43</v>
      </c>
      <c r="E22" s="190" t="s">
        <v>43</v>
      </c>
    </row>
    <row r="23" spans="1:5" ht="15.75" x14ac:dyDescent="0.25">
      <c r="A23" s="193" t="s">
        <v>42</v>
      </c>
      <c r="B23" s="190" t="s">
        <v>57</v>
      </c>
      <c r="C23" s="190" t="s">
        <v>43</v>
      </c>
      <c r="D23" s="190" t="s">
        <v>43</v>
      </c>
      <c r="E23" s="190" t="s">
        <v>43</v>
      </c>
    </row>
    <row r="24" spans="1:5" ht="15.75" x14ac:dyDescent="0.25">
      <c r="A24" s="193" t="s">
        <v>42</v>
      </c>
      <c r="B24" s="190" t="s">
        <v>55</v>
      </c>
      <c r="C24" s="190" t="s">
        <v>43</v>
      </c>
      <c r="D24" s="190" t="s">
        <v>43</v>
      </c>
      <c r="E24" s="190" t="s">
        <v>43</v>
      </c>
    </row>
    <row r="25" spans="1:5" ht="15.75" x14ac:dyDescent="0.25">
      <c r="A25" s="193" t="s">
        <v>42</v>
      </c>
      <c r="B25" s="190" t="s">
        <v>51</v>
      </c>
      <c r="C25" s="190" t="s">
        <v>52</v>
      </c>
      <c r="D25" s="190" t="s">
        <v>52</v>
      </c>
      <c r="E25" s="190" t="s">
        <v>52</v>
      </c>
    </row>
    <row r="26" spans="1:5" ht="15.75" x14ac:dyDescent="0.25">
      <c r="A26" s="193" t="s">
        <v>42</v>
      </c>
      <c r="B26" s="190" t="s">
        <v>53</v>
      </c>
      <c r="C26" s="190" t="s">
        <v>52</v>
      </c>
      <c r="D26" s="190" t="s">
        <v>52</v>
      </c>
      <c r="E26" s="190" t="s">
        <v>52</v>
      </c>
    </row>
    <row r="27" spans="1:5" ht="15.75" x14ac:dyDescent="0.25">
      <c r="A27" s="193" t="s">
        <v>42</v>
      </c>
      <c r="B27" s="190" t="s">
        <v>54</v>
      </c>
      <c r="C27" s="190" t="s">
        <v>52</v>
      </c>
      <c r="D27" s="190" t="s">
        <v>52</v>
      </c>
      <c r="E27" s="190" t="s">
        <v>52</v>
      </c>
    </row>
    <row r="28" spans="1:5" ht="15.75" x14ac:dyDescent="0.25">
      <c r="A28" s="193" t="s">
        <v>42</v>
      </c>
      <c r="B28" s="190" t="s">
        <v>56</v>
      </c>
      <c r="C28" s="190" t="s">
        <v>52</v>
      </c>
      <c r="D28" s="190" t="s">
        <v>52</v>
      </c>
      <c r="E28" s="190" t="s">
        <v>52</v>
      </c>
    </row>
    <row r="29" spans="1:5" s="2" customFormat="1" ht="15.75" x14ac:dyDescent="0.25">
      <c r="A29" s="194" t="s">
        <v>58</v>
      </c>
      <c r="B29" s="190" t="s">
        <v>58</v>
      </c>
      <c r="C29" s="190" t="s">
        <v>59</v>
      </c>
      <c r="D29" s="190" t="s">
        <v>59</v>
      </c>
      <c r="E29" s="190" t="s">
        <v>59</v>
      </c>
    </row>
    <row r="30" spans="1:5" s="2" customFormat="1" ht="15.75" x14ac:dyDescent="0.25">
      <c r="A30" s="194" t="s">
        <v>58</v>
      </c>
      <c r="B30" s="190" t="s">
        <v>58</v>
      </c>
      <c r="C30" s="190" t="s">
        <v>480</v>
      </c>
      <c r="D30" s="190" t="s">
        <v>480</v>
      </c>
      <c r="E30" s="190" t="s">
        <v>60</v>
      </c>
    </row>
    <row r="31" spans="1:5" s="2" customFormat="1" ht="15.75" x14ac:dyDescent="0.25">
      <c r="A31" s="194" t="s">
        <v>58</v>
      </c>
      <c r="B31" s="190" t="s">
        <v>58</v>
      </c>
      <c r="C31" s="190" t="s">
        <v>481</v>
      </c>
      <c r="D31" s="190" t="s">
        <v>481</v>
      </c>
      <c r="E31" s="190" t="s">
        <v>61</v>
      </c>
    </row>
    <row r="32" spans="1:5" s="2" customFormat="1" ht="15.75" x14ac:dyDescent="0.25">
      <c r="A32" s="194" t="s">
        <v>58</v>
      </c>
      <c r="B32" s="190" t="s">
        <v>58</v>
      </c>
      <c r="C32" s="190" t="s">
        <v>484</v>
      </c>
      <c r="D32" s="190" t="s">
        <v>482</v>
      </c>
      <c r="E32" s="190" t="s">
        <v>477</v>
      </c>
    </row>
    <row r="33" spans="1:5" s="2" customFormat="1" ht="15.75" x14ac:dyDescent="0.25">
      <c r="A33" s="194" t="s">
        <v>58</v>
      </c>
      <c r="B33" s="190" t="s">
        <v>58</v>
      </c>
      <c r="C33" s="190" t="s">
        <v>483</v>
      </c>
      <c r="D33" s="190" t="s">
        <v>483</v>
      </c>
      <c r="E33" s="190" t="s">
        <v>62</v>
      </c>
    </row>
    <row r="34" spans="1:5" s="2" customFormat="1" ht="15.75" x14ac:dyDescent="0.25">
      <c r="A34" s="194" t="s">
        <v>58</v>
      </c>
      <c r="B34" s="190" t="s">
        <v>58</v>
      </c>
      <c r="C34" s="190" t="s">
        <v>379</v>
      </c>
      <c r="D34" s="190" t="s">
        <v>379</v>
      </c>
      <c r="E34" s="190" t="s">
        <v>377</v>
      </c>
    </row>
    <row r="35" spans="1:5" s="2" customFormat="1" ht="15.75" x14ac:dyDescent="0.25">
      <c r="A35" s="194" t="s">
        <v>58</v>
      </c>
      <c r="B35" s="190" t="s">
        <v>58</v>
      </c>
      <c r="C35" s="190" t="s">
        <v>380</v>
      </c>
      <c r="D35" s="190" t="s">
        <v>380</v>
      </c>
      <c r="E35" s="190" t="s">
        <v>94</v>
      </c>
    </row>
    <row r="36" spans="1:5" s="2" customFormat="1" ht="15.75" x14ac:dyDescent="0.25">
      <c r="A36" s="194" t="s">
        <v>58</v>
      </c>
      <c r="B36" s="190" t="s">
        <v>58</v>
      </c>
      <c r="D36"/>
      <c r="E36" s="190" t="s">
        <v>378</v>
      </c>
    </row>
    <row r="37" spans="1:5" s="2" customFormat="1" ht="15.75" x14ac:dyDescent="0.25">
      <c r="A37" s="194" t="s">
        <v>58</v>
      </c>
      <c r="B37" s="190" t="s">
        <v>58</v>
      </c>
      <c r="C37"/>
      <c r="D37"/>
      <c r="E37" s="190" t="s">
        <v>379</v>
      </c>
    </row>
    <row r="38" spans="1:5" s="2" customFormat="1" ht="15.75" x14ac:dyDescent="0.25">
      <c r="A38" s="194" t="s">
        <v>58</v>
      </c>
      <c r="B38" s="190" t="s">
        <v>58</v>
      </c>
      <c r="C38"/>
      <c r="D38"/>
      <c r="E38" s="190" t="s">
        <v>478</v>
      </c>
    </row>
    <row r="39" spans="1:5" s="2" customFormat="1" ht="15.75" x14ac:dyDescent="0.25">
      <c r="A39" s="194" t="s">
        <v>58</v>
      </c>
      <c r="B39" s="190" t="s">
        <v>58</v>
      </c>
      <c r="C39"/>
      <c r="D39"/>
      <c r="E39" s="190" t="s">
        <v>479</v>
      </c>
    </row>
    <row r="46" spans="1:5" x14ac:dyDescent="0.25">
      <c r="B46" s="19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63402-4591-4751-8561-63328140B5D1}">
  <sheetPr codeName="Sheet2"/>
  <dimension ref="A1:L18"/>
  <sheetViews>
    <sheetView workbookViewId="0">
      <selection activeCell="E1" activeCellId="3" sqref="A1:A1048576 C1:C1048576 D1:D1048576 E1:E1048576"/>
    </sheetView>
  </sheetViews>
  <sheetFormatPr defaultRowHeight="15" x14ac:dyDescent="0.25"/>
  <cols>
    <col min="2" max="2" width="23.7109375" customWidth="1"/>
    <col min="3" max="3" width="17.5703125" customWidth="1"/>
    <col min="4" max="4" width="17.42578125" customWidth="1"/>
    <col min="5" max="5" width="18.28515625" customWidth="1"/>
    <col min="6" max="6" width="17.5703125" customWidth="1"/>
    <col min="7" max="7" width="14.140625" customWidth="1"/>
    <col min="8" max="8" width="22.5703125" customWidth="1"/>
    <col min="9" max="9" width="21.42578125" customWidth="1"/>
    <col min="10" max="10" width="22.5703125" customWidth="1"/>
    <col min="11" max="11" width="26.5703125" customWidth="1"/>
    <col min="12" max="12" width="15.5703125" customWidth="1"/>
  </cols>
  <sheetData>
    <row r="1" spans="1:12" x14ac:dyDescent="0.25">
      <c r="A1" s="21" t="s">
        <v>0</v>
      </c>
      <c r="B1" s="21" t="s">
        <v>385</v>
      </c>
      <c r="C1" s="21" t="s">
        <v>386</v>
      </c>
      <c r="D1" s="21" t="s">
        <v>387</v>
      </c>
      <c r="E1" s="21" t="s">
        <v>388</v>
      </c>
      <c r="F1" s="21" t="s">
        <v>389</v>
      </c>
      <c r="G1" s="21" t="s">
        <v>390</v>
      </c>
      <c r="H1" s="21" t="s">
        <v>391</v>
      </c>
      <c r="I1" s="21" t="s">
        <v>392</v>
      </c>
      <c r="J1" s="21" t="s">
        <v>395</v>
      </c>
      <c r="K1" s="21" t="s">
        <v>396</v>
      </c>
      <c r="L1" s="21" t="s">
        <v>423</v>
      </c>
    </row>
    <row r="2" spans="1:12" x14ac:dyDescent="0.25">
      <c r="A2">
        <v>2002</v>
      </c>
      <c r="B2" t="s">
        <v>424</v>
      </c>
      <c r="C2">
        <v>56</v>
      </c>
      <c r="F2" t="s">
        <v>425</v>
      </c>
      <c r="G2" t="s">
        <v>425</v>
      </c>
      <c r="H2" t="s">
        <v>425</v>
      </c>
      <c r="I2" t="s">
        <v>405</v>
      </c>
      <c r="J2" t="s">
        <v>425</v>
      </c>
      <c r="K2" t="s">
        <v>425</v>
      </c>
      <c r="L2" t="s">
        <v>425</v>
      </c>
    </row>
    <row r="3" spans="1:12" x14ac:dyDescent="0.25">
      <c r="A3">
        <v>2005</v>
      </c>
      <c r="B3" t="s">
        <v>426</v>
      </c>
      <c r="C3">
        <v>50</v>
      </c>
      <c r="F3" t="s">
        <v>405</v>
      </c>
      <c r="G3" t="s">
        <v>425</v>
      </c>
      <c r="H3" t="s">
        <v>425</v>
      </c>
      <c r="I3" t="s">
        <v>405</v>
      </c>
      <c r="J3" t="s">
        <v>425</v>
      </c>
      <c r="K3" t="s">
        <v>425</v>
      </c>
      <c r="L3" t="s">
        <v>425</v>
      </c>
    </row>
    <row r="4" spans="1:12" x14ac:dyDescent="0.25">
      <c r="A4">
        <v>2009</v>
      </c>
      <c r="B4" t="s">
        <v>400</v>
      </c>
      <c r="C4">
        <v>45</v>
      </c>
      <c r="D4">
        <v>8.5</v>
      </c>
      <c r="F4" t="s">
        <v>405</v>
      </c>
      <c r="G4" t="s">
        <v>405</v>
      </c>
      <c r="H4" t="s">
        <v>404</v>
      </c>
      <c r="I4" t="s">
        <v>405</v>
      </c>
      <c r="J4" t="s">
        <v>401</v>
      </c>
      <c r="K4" t="s">
        <v>425</v>
      </c>
      <c r="L4" t="s">
        <v>425</v>
      </c>
    </row>
    <row r="5" spans="1:12" x14ac:dyDescent="0.25">
      <c r="A5">
        <v>2012</v>
      </c>
      <c r="B5" t="s">
        <v>427</v>
      </c>
      <c r="C5">
        <v>40</v>
      </c>
      <c r="D5">
        <v>7.5</v>
      </c>
      <c r="E5">
        <v>1000</v>
      </c>
      <c r="F5" t="s">
        <v>405</v>
      </c>
      <c r="G5" t="s">
        <v>405</v>
      </c>
      <c r="H5" t="s">
        <v>428</v>
      </c>
      <c r="I5" t="s">
        <v>405</v>
      </c>
      <c r="J5" t="s">
        <v>402</v>
      </c>
      <c r="K5" t="s">
        <v>405</v>
      </c>
      <c r="L5" t="s">
        <v>425</v>
      </c>
    </row>
    <row r="6" spans="1:12" x14ac:dyDescent="0.25">
      <c r="A6">
        <v>2015</v>
      </c>
      <c r="B6" t="s">
        <v>429</v>
      </c>
      <c r="C6">
        <v>39</v>
      </c>
      <c r="D6">
        <v>6.9</v>
      </c>
      <c r="E6">
        <v>850</v>
      </c>
      <c r="F6" t="s">
        <v>405</v>
      </c>
      <c r="G6" t="s">
        <v>405</v>
      </c>
      <c r="H6" t="s">
        <v>428</v>
      </c>
      <c r="I6" t="s">
        <v>405</v>
      </c>
      <c r="J6" t="s">
        <v>402</v>
      </c>
      <c r="K6" t="s">
        <v>405</v>
      </c>
      <c r="L6" t="s">
        <v>425</v>
      </c>
    </row>
    <row r="7" spans="1:12" x14ac:dyDescent="0.25">
      <c r="A7">
        <v>2017</v>
      </c>
      <c r="B7" t="s">
        <v>430</v>
      </c>
      <c r="C7">
        <v>37</v>
      </c>
      <c r="D7">
        <v>5.8</v>
      </c>
      <c r="E7">
        <v>700</v>
      </c>
      <c r="F7" t="s">
        <v>405</v>
      </c>
      <c r="G7" t="s">
        <v>405</v>
      </c>
      <c r="H7" t="s">
        <v>428</v>
      </c>
      <c r="I7" t="s">
        <v>405</v>
      </c>
      <c r="J7" t="s">
        <v>407</v>
      </c>
      <c r="K7" t="s">
        <v>405</v>
      </c>
      <c r="L7" t="s">
        <v>425</v>
      </c>
    </row>
    <row r="8" spans="1:12" x14ac:dyDescent="0.25">
      <c r="A8">
        <v>2020</v>
      </c>
      <c r="B8" t="s">
        <v>431</v>
      </c>
      <c r="C8">
        <v>35</v>
      </c>
      <c r="D8">
        <v>5.2</v>
      </c>
      <c r="E8">
        <v>500</v>
      </c>
      <c r="F8" t="s">
        <v>405</v>
      </c>
      <c r="G8" t="s">
        <v>405</v>
      </c>
      <c r="H8" t="s">
        <v>428</v>
      </c>
      <c r="I8" t="s">
        <v>405</v>
      </c>
      <c r="J8" t="s">
        <v>407</v>
      </c>
      <c r="K8" t="s">
        <v>405</v>
      </c>
      <c r="L8" t="s">
        <v>425</v>
      </c>
    </row>
    <row r="9" spans="1:12" x14ac:dyDescent="0.25">
      <c r="A9">
        <v>2021</v>
      </c>
      <c r="B9" t="s">
        <v>432</v>
      </c>
      <c r="C9">
        <v>28</v>
      </c>
      <c r="E9">
        <v>400</v>
      </c>
      <c r="F9" t="s">
        <v>405</v>
      </c>
      <c r="G9" t="s">
        <v>405</v>
      </c>
      <c r="H9" t="s">
        <v>428</v>
      </c>
      <c r="I9" t="s">
        <v>405</v>
      </c>
      <c r="J9" t="s">
        <v>407</v>
      </c>
      <c r="K9" t="s">
        <v>405</v>
      </c>
      <c r="L9" t="s">
        <v>433</v>
      </c>
    </row>
    <row r="10" spans="1:12" x14ac:dyDescent="0.25">
      <c r="A10">
        <v>2023</v>
      </c>
      <c r="B10" t="s">
        <v>434</v>
      </c>
      <c r="F10" t="s">
        <v>405</v>
      </c>
      <c r="G10" t="s">
        <v>405</v>
      </c>
      <c r="H10" t="s">
        <v>418</v>
      </c>
      <c r="I10" t="s">
        <v>405</v>
      </c>
      <c r="J10" t="s">
        <v>407</v>
      </c>
      <c r="K10" t="s">
        <v>405</v>
      </c>
      <c r="L10" t="s">
        <v>418</v>
      </c>
    </row>
    <row r="18" ht="9" customHeigh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3D6E7-AA45-40DD-A8CD-DFE13289E4A5}">
  <sheetPr codeName="Sheet3"/>
  <dimension ref="A1:O23"/>
  <sheetViews>
    <sheetView zoomScaleNormal="100" workbookViewId="0">
      <selection activeCell="C25" sqref="C25"/>
    </sheetView>
  </sheetViews>
  <sheetFormatPr defaultRowHeight="15" x14ac:dyDescent="0.25"/>
  <cols>
    <col min="1" max="1" width="25.7109375" bestFit="1" customWidth="1"/>
    <col min="2" max="2" width="22.140625" bestFit="1" customWidth="1"/>
    <col min="3" max="3" width="16.42578125" bestFit="1" customWidth="1"/>
    <col min="4" max="4" width="19.28515625" bestFit="1" customWidth="1"/>
    <col min="5" max="5" width="15.5703125" bestFit="1" customWidth="1"/>
    <col min="6" max="6" width="33.42578125" bestFit="1" customWidth="1"/>
    <col min="7" max="7" width="20.140625" bestFit="1" customWidth="1"/>
    <col min="8" max="8" width="32.5703125" bestFit="1" customWidth="1"/>
    <col min="9" max="9" width="33.42578125" bestFit="1" customWidth="1"/>
    <col min="10" max="10" width="27.85546875" bestFit="1" customWidth="1"/>
    <col min="11" max="11" width="26" bestFit="1" customWidth="1"/>
    <col min="12" max="12" width="26.85546875" bestFit="1" customWidth="1"/>
    <col min="13" max="13" width="33.140625" bestFit="1" customWidth="1"/>
    <col min="14" max="14" width="27.140625" bestFit="1" customWidth="1"/>
    <col min="15" max="15" width="33.42578125" bestFit="1" customWidth="1"/>
  </cols>
  <sheetData>
    <row r="1" spans="1:15" x14ac:dyDescent="0.25">
      <c r="A1" s="21" t="s">
        <v>0</v>
      </c>
      <c r="B1">
        <v>2000</v>
      </c>
      <c r="C1">
        <v>2003</v>
      </c>
      <c r="D1">
        <v>2009</v>
      </c>
      <c r="E1">
        <v>2010</v>
      </c>
      <c r="F1">
        <v>2012</v>
      </c>
      <c r="G1">
        <v>2014</v>
      </c>
      <c r="H1">
        <v>2015</v>
      </c>
      <c r="I1">
        <v>2017</v>
      </c>
      <c r="J1">
        <v>2018</v>
      </c>
      <c r="K1">
        <v>2019</v>
      </c>
      <c r="L1">
        <v>2020</v>
      </c>
      <c r="M1">
        <v>2021</v>
      </c>
      <c r="N1">
        <v>2022</v>
      </c>
      <c r="O1">
        <v>2023</v>
      </c>
    </row>
    <row r="2" spans="1:15" x14ac:dyDescent="0.25">
      <c r="A2" s="21" t="s">
        <v>385</v>
      </c>
      <c r="B2" t="s">
        <v>397</v>
      </c>
      <c r="C2" t="s">
        <v>398</v>
      </c>
      <c r="D2" t="s">
        <v>400</v>
      </c>
      <c r="E2" t="s">
        <v>403</v>
      </c>
      <c r="F2" t="s">
        <v>408</v>
      </c>
      <c r="G2" t="s">
        <v>409</v>
      </c>
      <c r="H2" t="s">
        <v>410</v>
      </c>
      <c r="I2" t="s">
        <v>411</v>
      </c>
      <c r="J2" t="s">
        <v>412</v>
      </c>
      <c r="K2" t="s">
        <v>413</v>
      </c>
      <c r="L2" t="s">
        <v>414</v>
      </c>
      <c r="M2" t="s">
        <v>415</v>
      </c>
      <c r="N2" t="s">
        <v>417</v>
      </c>
      <c r="O2" t="s">
        <v>419</v>
      </c>
    </row>
    <row r="3" spans="1:15" x14ac:dyDescent="0.25">
      <c r="A3" s="21" t="s">
        <v>389</v>
      </c>
      <c r="G3" t="s">
        <v>405</v>
      </c>
      <c r="H3" t="s">
        <v>405</v>
      </c>
      <c r="I3" t="s">
        <v>405</v>
      </c>
      <c r="J3" t="s">
        <v>405</v>
      </c>
      <c r="K3" t="s">
        <v>405</v>
      </c>
      <c r="L3" t="s">
        <v>405</v>
      </c>
      <c r="M3" t="s">
        <v>405</v>
      </c>
      <c r="N3" t="s">
        <v>405</v>
      </c>
      <c r="O3" t="s">
        <v>405</v>
      </c>
    </row>
    <row r="4" spans="1:15" x14ac:dyDescent="0.25">
      <c r="A4" s="21" t="s">
        <v>390</v>
      </c>
      <c r="G4" t="s">
        <v>405</v>
      </c>
      <c r="H4" t="s">
        <v>405</v>
      </c>
      <c r="I4" t="s">
        <v>405</v>
      </c>
      <c r="J4" t="s">
        <v>405</v>
      </c>
      <c r="K4" t="s">
        <v>405</v>
      </c>
      <c r="L4" t="s">
        <v>405</v>
      </c>
      <c r="M4" t="s">
        <v>405</v>
      </c>
      <c r="N4" t="s">
        <v>405</v>
      </c>
      <c r="O4" t="s">
        <v>405</v>
      </c>
    </row>
    <row r="5" spans="1:15" x14ac:dyDescent="0.25">
      <c r="A5" s="21" t="s">
        <v>391</v>
      </c>
      <c r="G5" t="s">
        <v>404</v>
      </c>
      <c r="H5" t="s">
        <v>407</v>
      </c>
      <c r="I5" t="s">
        <v>407</v>
      </c>
      <c r="J5" t="s">
        <v>407</v>
      </c>
      <c r="K5" t="s">
        <v>407</v>
      </c>
      <c r="L5" t="s">
        <v>407</v>
      </c>
      <c r="M5" t="s">
        <v>407</v>
      </c>
      <c r="N5" t="s">
        <v>407</v>
      </c>
      <c r="O5" t="s">
        <v>418</v>
      </c>
    </row>
    <row r="6" spans="1:15" x14ac:dyDescent="0.25">
      <c r="A6" s="21" t="s">
        <v>392</v>
      </c>
      <c r="E6" t="s">
        <v>404</v>
      </c>
      <c r="F6" t="s">
        <v>407</v>
      </c>
      <c r="G6" t="s">
        <v>407</v>
      </c>
      <c r="H6" t="s">
        <v>407</v>
      </c>
      <c r="I6" t="s">
        <v>407</v>
      </c>
      <c r="J6" t="s">
        <v>407</v>
      </c>
      <c r="K6" t="s">
        <v>407</v>
      </c>
      <c r="L6" t="s">
        <v>407</v>
      </c>
      <c r="M6" t="s">
        <v>407</v>
      </c>
      <c r="N6" t="s">
        <v>407</v>
      </c>
      <c r="O6" t="s">
        <v>407</v>
      </c>
    </row>
    <row r="7" spans="1:15" x14ac:dyDescent="0.25">
      <c r="A7" s="21" t="s">
        <v>393</v>
      </c>
      <c r="E7" t="s">
        <v>405</v>
      </c>
      <c r="F7" t="s">
        <v>405</v>
      </c>
      <c r="G7" t="s">
        <v>405</v>
      </c>
      <c r="H7" t="s">
        <v>405</v>
      </c>
      <c r="I7" t="s">
        <v>405</v>
      </c>
      <c r="J7" t="s">
        <v>405</v>
      </c>
      <c r="K7" t="s">
        <v>405</v>
      </c>
      <c r="L7" t="s">
        <v>405</v>
      </c>
      <c r="M7" t="s">
        <v>405</v>
      </c>
      <c r="N7" t="s">
        <v>405</v>
      </c>
      <c r="O7" t="s">
        <v>405</v>
      </c>
    </row>
    <row r="8" spans="1:15" x14ac:dyDescent="0.25">
      <c r="A8" s="21" t="s">
        <v>394</v>
      </c>
      <c r="G8" t="s">
        <v>405</v>
      </c>
      <c r="H8" t="s">
        <v>405</v>
      </c>
      <c r="I8" t="s">
        <v>405</v>
      </c>
      <c r="J8" t="s">
        <v>405</v>
      </c>
      <c r="K8" t="s">
        <v>405</v>
      </c>
      <c r="L8" t="s">
        <v>405</v>
      </c>
      <c r="M8" t="s">
        <v>405</v>
      </c>
      <c r="N8" t="s">
        <v>405</v>
      </c>
      <c r="O8" t="s">
        <v>405</v>
      </c>
    </row>
    <row r="9" spans="1:15" x14ac:dyDescent="0.25">
      <c r="A9" s="21" t="s">
        <v>395</v>
      </c>
      <c r="D9" t="s">
        <v>401</v>
      </c>
      <c r="E9" t="s">
        <v>406</v>
      </c>
      <c r="F9" t="s">
        <v>407</v>
      </c>
      <c r="G9" t="s">
        <v>407</v>
      </c>
      <c r="H9" t="s">
        <v>407</v>
      </c>
      <c r="I9" t="s">
        <v>407</v>
      </c>
      <c r="J9" t="s">
        <v>407</v>
      </c>
      <c r="K9" t="s">
        <v>407</v>
      </c>
      <c r="L9" t="s">
        <v>407</v>
      </c>
      <c r="M9" t="s">
        <v>407</v>
      </c>
      <c r="N9" t="s">
        <v>407</v>
      </c>
      <c r="O9" t="s">
        <v>407</v>
      </c>
    </row>
    <row r="10" spans="1:15" x14ac:dyDescent="0.25">
      <c r="A10" s="21" t="s">
        <v>396</v>
      </c>
      <c r="C10" t="s">
        <v>399</v>
      </c>
      <c r="D10" t="s">
        <v>402</v>
      </c>
      <c r="E10" t="s">
        <v>407</v>
      </c>
      <c r="F10" t="s">
        <v>407</v>
      </c>
      <c r="G10" t="s">
        <v>407</v>
      </c>
      <c r="H10" t="s">
        <v>407</v>
      </c>
      <c r="I10" t="s">
        <v>407</v>
      </c>
      <c r="J10" t="s">
        <v>407</v>
      </c>
      <c r="K10" t="s">
        <v>407</v>
      </c>
      <c r="L10" t="s">
        <v>407</v>
      </c>
      <c r="M10" t="s">
        <v>407</v>
      </c>
      <c r="N10" t="s">
        <v>407</v>
      </c>
      <c r="O10" t="s">
        <v>407</v>
      </c>
    </row>
    <row r="11" spans="1:15" x14ac:dyDescent="0.25">
      <c r="A11" s="21" t="s">
        <v>375</v>
      </c>
      <c r="M11" t="s">
        <v>416</v>
      </c>
      <c r="N11" t="s">
        <v>418</v>
      </c>
      <c r="O11" t="s">
        <v>418</v>
      </c>
    </row>
    <row r="13" spans="1:15" x14ac:dyDescent="0.25">
      <c r="A13" s="21" t="s">
        <v>0</v>
      </c>
      <c r="B13">
        <v>2015</v>
      </c>
      <c r="C13">
        <v>2017</v>
      </c>
      <c r="D13">
        <v>2018</v>
      </c>
      <c r="E13">
        <v>2020</v>
      </c>
      <c r="F13">
        <v>2021</v>
      </c>
      <c r="G13">
        <v>2022</v>
      </c>
    </row>
    <row r="14" spans="1:15" x14ac:dyDescent="0.25">
      <c r="A14" s="21" t="s">
        <v>386</v>
      </c>
      <c r="B14">
        <v>40</v>
      </c>
      <c r="C14">
        <v>39</v>
      </c>
      <c r="D14">
        <v>39</v>
      </c>
    </row>
    <row r="15" spans="1:15" x14ac:dyDescent="0.25">
      <c r="A15" s="21" t="s">
        <v>387</v>
      </c>
      <c r="C15">
        <v>9.98</v>
      </c>
      <c r="E15">
        <v>11.33</v>
      </c>
      <c r="F15">
        <v>10.1</v>
      </c>
      <c r="G15">
        <v>12.4</v>
      </c>
    </row>
    <row r="16" spans="1:15" x14ac:dyDescent="0.25">
      <c r="A16" s="21" t="s">
        <v>388</v>
      </c>
      <c r="C16">
        <v>1114</v>
      </c>
      <c r="F16">
        <v>406</v>
      </c>
    </row>
    <row r="19" spans="1:2" x14ac:dyDescent="0.25">
      <c r="A19" t="s">
        <v>2</v>
      </c>
      <c r="B19" t="s">
        <v>3</v>
      </c>
    </row>
    <row r="20" spans="1:2" ht="15.75" customHeight="1" x14ac:dyDescent="0.25">
      <c r="A20" t="s">
        <v>8</v>
      </c>
      <c r="B20" t="s">
        <v>9</v>
      </c>
    </row>
    <row r="21" spans="1:2" x14ac:dyDescent="0.25">
      <c r="A21" t="s">
        <v>10</v>
      </c>
      <c r="B21" t="s">
        <v>11</v>
      </c>
    </row>
    <row r="22" spans="1:2" x14ac:dyDescent="0.25">
      <c r="A22" t="s">
        <v>12</v>
      </c>
      <c r="B22" t="s">
        <v>13</v>
      </c>
    </row>
    <row r="23" spans="1:2" x14ac:dyDescent="0.25">
      <c r="A23" t="s">
        <v>14</v>
      </c>
      <c r="B23" t="s">
        <v>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977DF-1E2B-4314-A7D6-2BE3078015B1}">
  <sheetPr codeName="Sheet4"/>
  <dimension ref="A1:H29"/>
  <sheetViews>
    <sheetView topLeftCell="A4" workbookViewId="0">
      <selection activeCell="A20" sqref="A20:D28"/>
    </sheetView>
  </sheetViews>
  <sheetFormatPr defaultRowHeight="15" x14ac:dyDescent="0.25"/>
  <cols>
    <col min="1" max="1" width="18" customWidth="1"/>
    <col min="2" max="2" width="32.85546875" customWidth="1"/>
    <col min="3" max="3" width="8.85546875" bestFit="1" customWidth="1"/>
    <col min="4" max="4" width="21.7109375" customWidth="1"/>
    <col min="5" max="5" width="13.7109375" customWidth="1"/>
    <col min="6" max="6" width="25.28515625" customWidth="1"/>
    <col min="7" max="7" width="21" customWidth="1"/>
    <col min="8" max="8" width="19.140625" customWidth="1"/>
    <col min="11" max="11" width="8.5703125" bestFit="1" customWidth="1"/>
  </cols>
  <sheetData>
    <row r="1" spans="1:8" ht="30" customHeight="1" x14ac:dyDescent="0.25">
      <c r="A1" s="176" t="s">
        <v>0</v>
      </c>
      <c r="B1" s="176" t="s">
        <v>385</v>
      </c>
      <c r="C1" s="176" t="s">
        <v>389</v>
      </c>
      <c r="D1" s="176" t="s">
        <v>391</v>
      </c>
      <c r="E1" s="176" t="s">
        <v>392</v>
      </c>
      <c r="F1" s="176" t="s">
        <v>395</v>
      </c>
      <c r="G1" s="176" t="s">
        <v>452</v>
      </c>
      <c r="H1" s="176" t="s">
        <v>423</v>
      </c>
    </row>
    <row r="2" spans="1:8" ht="30" customHeight="1" x14ac:dyDescent="0.25">
      <c r="A2" s="177">
        <v>2000</v>
      </c>
      <c r="B2" s="177" t="s">
        <v>453</v>
      </c>
      <c r="C2" s="177" t="s">
        <v>425</v>
      </c>
      <c r="D2" s="177" t="s">
        <v>425</v>
      </c>
      <c r="E2" s="177" t="s">
        <v>425</v>
      </c>
      <c r="F2" s="177" t="s">
        <v>425</v>
      </c>
      <c r="G2" s="177" t="s">
        <v>425</v>
      </c>
      <c r="H2" s="177" t="s">
        <v>425</v>
      </c>
    </row>
    <row r="3" spans="1:8" ht="30" customHeight="1" x14ac:dyDescent="0.25">
      <c r="A3" s="177">
        <v>2005</v>
      </c>
      <c r="B3" s="177" t="s">
        <v>455</v>
      </c>
      <c r="C3" s="177" t="s">
        <v>405</v>
      </c>
      <c r="D3" s="177" t="s">
        <v>425</v>
      </c>
      <c r="E3" s="177" t="s">
        <v>405</v>
      </c>
      <c r="F3" s="177" t="s">
        <v>425</v>
      </c>
      <c r="G3" s="177" t="s">
        <v>425</v>
      </c>
      <c r="H3" s="177" t="s">
        <v>425</v>
      </c>
    </row>
    <row r="4" spans="1:8" ht="30" customHeight="1" x14ac:dyDescent="0.25">
      <c r="A4" s="177">
        <v>2009</v>
      </c>
      <c r="B4" s="177" t="s">
        <v>400</v>
      </c>
      <c r="C4" s="177" t="s">
        <v>405</v>
      </c>
      <c r="D4" s="177" t="s">
        <v>404</v>
      </c>
      <c r="E4" s="177" t="s">
        <v>405</v>
      </c>
      <c r="F4" s="177" t="s">
        <v>401</v>
      </c>
      <c r="G4" s="177" t="s">
        <v>425</v>
      </c>
      <c r="H4" s="177" t="s">
        <v>425</v>
      </c>
    </row>
    <row r="5" spans="1:8" ht="30" customHeight="1" x14ac:dyDescent="0.25">
      <c r="A5" s="177">
        <v>2010</v>
      </c>
      <c r="B5" s="177" t="s">
        <v>456</v>
      </c>
      <c r="C5" s="177" t="s">
        <v>405</v>
      </c>
      <c r="D5" s="177" t="s">
        <v>402</v>
      </c>
      <c r="E5" s="177" t="s">
        <v>405</v>
      </c>
      <c r="F5" s="177" t="s">
        <v>402</v>
      </c>
      <c r="G5" s="177" t="s">
        <v>425</v>
      </c>
      <c r="H5" s="177" t="s">
        <v>425</v>
      </c>
    </row>
    <row r="6" spans="1:8" ht="30" customHeight="1" x14ac:dyDescent="0.25">
      <c r="A6" s="177">
        <v>2015</v>
      </c>
      <c r="B6" s="177" t="s">
        <v>457</v>
      </c>
      <c r="C6" s="177" t="s">
        <v>405</v>
      </c>
      <c r="D6" s="177" t="s">
        <v>402</v>
      </c>
      <c r="E6" s="177" t="s">
        <v>405</v>
      </c>
      <c r="F6" s="177" t="s">
        <v>406</v>
      </c>
      <c r="G6" s="177" t="s">
        <v>404</v>
      </c>
      <c r="H6" s="177" t="s">
        <v>425</v>
      </c>
    </row>
    <row r="7" spans="1:8" ht="30" customHeight="1" x14ac:dyDescent="0.25">
      <c r="A7" s="177">
        <v>2018</v>
      </c>
      <c r="B7" s="177" t="s">
        <v>458</v>
      </c>
      <c r="C7" s="177" t="s">
        <v>405</v>
      </c>
      <c r="D7" s="177" t="s">
        <v>402</v>
      </c>
      <c r="E7" s="177" t="s">
        <v>405</v>
      </c>
      <c r="F7" s="177" t="s">
        <v>407</v>
      </c>
      <c r="G7" s="177" t="s">
        <v>402</v>
      </c>
      <c r="H7" s="177" t="s">
        <v>425</v>
      </c>
    </row>
    <row r="8" spans="1:8" ht="30" customHeight="1" x14ac:dyDescent="0.25">
      <c r="A8" s="177">
        <v>2020</v>
      </c>
      <c r="B8" s="177" t="s">
        <v>459</v>
      </c>
      <c r="C8" s="177" t="s">
        <v>405</v>
      </c>
      <c r="D8" s="177" t="s">
        <v>402</v>
      </c>
      <c r="E8" s="177" t="s">
        <v>405</v>
      </c>
      <c r="F8" s="177" t="s">
        <v>407</v>
      </c>
      <c r="G8" s="177" t="s">
        <v>407</v>
      </c>
      <c r="H8" s="177" t="s">
        <v>425</v>
      </c>
    </row>
    <row r="9" spans="1:8" ht="30" customHeight="1" x14ac:dyDescent="0.25">
      <c r="A9" s="177">
        <v>2021</v>
      </c>
      <c r="B9" s="177" t="s">
        <v>460</v>
      </c>
      <c r="C9" s="177" t="s">
        <v>405</v>
      </c>
      <c r="D9" s="177" t="s">
        <v>428</v>
      </c>
      <c r="E9" s="177" t="s">
        <v>405</v>
      </c>
      <c r="F9" s="177" t="s">
        <v>407</v>
      </c>
      <c r="G9" s="177" t="s">
        <v>407</v>
      </c>
      <c r="H9" s="177" t="s">
        <v>433</v>
      </c>
    </row>
    <row r="10" spans="1:8" ht="30" x14ac:dyDescent="0.25">
      <c r="A10" s="177">
        <v>2023</v>
      </c>
      <c r="B10" s="177" t="s">
        <v>461</v>
      </c>
      <c r="C10" s="177" t="s">
        <v>405</v>
      </c>
      <c r="D10" s="177" t="s">
        <v>418</v>
      </c>
      <c r="E10" s="177" t="s">
        <v>405</v>
      </c>
      <c r="F10" s="177" t="s">
        <v>407</v>
      </c>
      <c r="G10" s="177" t="s">
        <v>407</v>
      </c>
      <c r="H10" s="177" t="s">
        <v>418</v>
      </c>
    </row>
    <row r="12" spans="1:8" x14ac:dyDescent="0.25">
      <c r="A12" t="s">
        <v>1</v>
      </c>
      <c r="B12" t="s">
        <v>2</v>
      </c>
      <c r="C12" t="s">
        <v>3</v>
      </c>
      <c r="D12" t="s">
        <v>3</v>
      </c>
    </row>
    <row r="13" spans="1:8" x14ac:dyDescent="0.25">
      <c r="A13" t="s">
        <v>17</v>
      </c>
      <c r="B13" t="s">
        <v>18</v>
      </c>
      <c r="C13" t="s">
        <v>19</v>
      </c>
      <c r="D13" t="s">
        <v>16</v>
      </c>
    </row>
    <row r="14" spans="1:8" x14ac:dyDescent="0.25">
      <c r="A14" t="s">
        <v>17</v>
      </c>
      <c r="B14" t="s">
        <v>21</v>
      </c>
      <c r="C14" t="s">
        <v>22</v>
      </c>
      <c r="D14" t="s">
        <v>20</v>
      </c>
    </row>
    <row r="15" spans="1:8" x14ac:dyDescent="0.25">
      <c r="A15" t="s">
        <v>17</v>
      </c>
      <c r="B15" t="s">
        <v>24</v>
      </c>
      <c r="C15" t="s">
        <v>25</v>
      </c>
      <c r="D15" t="s">
        <v>23</v>
      </c>
    </row>
    <row r="16" spans="1:8" x14ac:dyDescent="0.25">
      <c r="A16" t="s">
        <v>17</v>
      </c>
      <c r="B16" t="s">
        <v>27</v>
      </c>
      <c r="C16" t="s">
        <v>28</v>
      </c>
      <c r="D16" t="s">
        <v>26</v>
      </c>
    </row>
    <row r="17" spans="1:4" x14ac:dyDescent="0.25">
      <c r="D17" t="s">
        <v>29</v>
      </c>
    </row>
    <row r="20" spans="1:4" ht="60" x14ac:dyDescent="0.25">
      <c r="B20" s="176" t="s">
        <v>386</v>
      </c>
      <c r="C20" s="176" t="s">
        <v>387</v>
      </c>
      <c r="D20" s="176" t="s">
        <v>388</v>
      </c>
    </row>
    <row r="21" spans="1:4" x14ac:dyDescent="0.25">
      <c r="A21" s="177">
        <v>2000</v>
      </c>
      <c r="B21" s="177">
        <v>42</v>
      </c>
      <c r="C21" s="177" t="s">
        <v>454</v>
      </c>
      <c r="D21" s="177" t="s">
        <v>454</v>
      </c>
    </row>
    <row r="22" spans="1:4" x14ac:dyDescent="0.25">
      <c r="A22" s="177">
        <v>2005</v>
      </c>
      <c r="B22" s="177">
        <v>38</v>
      </c>
      <c r="C22" s="177" t="s">
        <v>454</v>
      </c>
      <c r="D22" s="177" t="s">
        <v>454</v>
      </c>
    </row>
    <row r="23" spans="1:4" x14ac:dyDescent="0.25">
      <c r="A23" s="177">
        <v>2009</v>
      </c>
      <c r="B23" s="177">
        <v>35</v>
      </c>
      <c r="C23" s="177">
        <v>10.5</v>
      </c>
      <c r="D23" s="178">
        <v>153000</v>
      </c>
    </row>
    <row r="24" spans="1:4" x14ac:dyDescent="0.25">
      <c r="A24" s="177">
        <v>2010</v>
      </c>
      <c r="B24" s="177">
        <v>33</v>
      </c>
      <c r="C24" s="177">
        <v>9.8000000000000007</v>
      </c>
      <c r="D24" s="178">
        <v>120000</v>
      </c>
    </row>
    <row r="25" spans="1:4" x14ac:dyDescent="0.25">
      <c r="A25" s="177">
        <v>2015</v>
      </c>
      <c r="B25" s="177">
        <v>27</v>
      </c>
      <c r="C25" s="177">
        <v>8.3000000000000007</v>
      </c>
      <c r="D25" s="178">
        <v>100000</v>
      </c>
    </row>
    <row r="26" spans="1:4" x14ac:dyDescent="0.25">
      <c r="A26" s="177">
        <v>2018</v>
      </c>
      <c r="B26" s="177">
        <v>23</v>
      </c>
      <c r="C26" s="177">
        <v>7.5</v>
      </c>
      <c r="D26" s="178">
        <v>85000</v>
      </c>
    </row>
    <row r="27" spans="1:4" x14ac:dyDescent="0.25">
      <c r="A27" s="177">
        <v>2020</v>
      </c>
      <c r="B27" s="177">
        <v>22</v>
      </c>
      <c r="C27" s="177">
        <v>6.9</v>
      </c>
      <c r="D27" s="178">
        <v>80000</v>
      </c>
    </row>
    <row r="28" spans="1:4" x14ac:dyDescent="0.25">
      <c r="A28" s="177">
        <v>2021</v>
      </c>
      <c r="B28" s="177">
        <v>20</v>
      </c>
      <c r="C28" s="177">
        <v>6.5</v>
      </c>
      <c r="D28" s="178">
        <v>75000</v>
      </c>
    </row>
    <row r="29" spans="1:4" x14ac:dyDescent="0.25">
      <c r="A29" s="177">
        <v>2023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4FF2C-2440-4E35-B5E8-696E80547AA9}">
  <sheetPr codeName="Sheet5"/>
  <dimension ref="A1:AZ197"/>
  <sheetViews>
    <sheetView zoomScale="86" zoomScaleNormal="86" workbookViewId="0">
      <selection activeCell="N141" sqref="N141"/>
    </sheetView>
  </sheetViews>
  <sheetFormatPr defaultRowHeight="15" x14ac:dyDescent="0.2"/>
  <cols>
    <col min="1" max="1" width="49.5703125" style="2" customWidth="1"/>
    <col min="2" max="2" width="48.42578125" style="2" customWidth="1"/>
    <col min="3" max="3" width="17.42578125" style="2" bestFit="1" customWidth="1"/>
    <col min="4" max="4" width="17.85546875" style="2" bestFit="1" customWidth="1"/>
    <col min="5" max="5" width="14.7109375" style="2" bestFit="1" customWidth="1"/>
    <col min="6" max="6" width="15.85546875" style="2" bestFit="1" customWidth="1"/>
    <col min="7" max="8" width="14.42578125" style="2" bestFit="1" customWidth="1"/>
    <col min="9" max="10" width="15.7109375" style="2" bestFit="1" customWidth="1"/>
    <col min="11" max="11" width="15" style="2" customWidth="1"/>
    <col min="12" max="12" width="15.85546875" style="2" customWidth="1"/>
    <col min="13" max="13" width="17.42578125" style="2" customWidth="1"/>
    <col min="14" max="14" width="16.5703125" style="2" customWidth="1"/>
    <col min="15" max="15" width="18" style="2" customWidth="1"/>
    <col min="16" max="16" width="17.42578125" style="2" customWidth="1"/>
    <col min="17" max="17" width="16.5703125" style="2" customWidth="1"/>
    <col min="18" max="18" width="28" style="2" customWidth="1"/>
    <col min="19" max="19" width="20.5703125" style="2" customWidth="1"/>
    <col min="20" max="20" width="19.7109375" style="2" customWidth="1"/>
    <col min="21" max="21" width="15.28515625" style="2" customWidth="1"/>
    <col min="22" max="22" width="21.7109375" style="2" customWidth="1"/>
    <col min="23" max="23" width="16.42578125" style="2" customWidth="1"/>
    <col min="24" max="24" width="18.85546875" style="2" customWidth="1"/>
    <col min="25" max="25" width="25.7109375" style="2" customWidth="1"/>
    <col min="26" max="26" width="10.28515625" style="2" bestFit="1" customWidth="1"/>
    <col min="27" max="27" width="14.42578125" style="2" bestFit="1" customWidth="1"/>
    <col min="28" max="28" width="9.7109375" style="2" bestFit="1" customWidth="1"/>
    <col min="29" max="29" width="11.7109375" style="2" bestFit="1" customWidth="1"/>
    <col min="30" max="30" width="9.42578125" style="2" bestFit="1" customWidth="1"/>
    <col min="31" max="32" width="11.7109375" style="2" bestFit="1" customWidth="1"/>
    <col min="33" max="33" width="14.42578125" style="2" bestFit="1" customWidth="1"/>
    <col min="34" max="37" width="9.28515625" style="2" bestFit="1" customWidth="1"/>
    <col min="38" max="38" width="17.42578125" style="2" bestFit="1" customWidth="1"/>
    <col min="39" max="16384" width="9.140625" style="2"/>
  </cols>
  <sheetData>
    <row r="1" spans="1:15" ht="15" customHeight="1" x14ac:dyDescent="0.25">
      <c r="A1" s="22" t="s">
        <v>63</v>
      </c>
    </row>
    <row r="2" spans="1:15" ht="15" customHeight="1" thickBot="1" x14ac:dyDescent="0.25">
      <c r="B2" s="2" t="s">
        <v>451</v>
      </c>
    </row>
    <row r="3" spans="1:15" ht="15" customHeight="1" thickBot="1" x14ac:dyDescent="0.25">
      <c r="A3" s="203" t="s">
        <v>1</v>
      </c>
      <c r="B3" s="204"/>
      <c r="C3" s="24" t="s">
        <v>65</v>
      </c>
      <c r="D3" s="25" t="s">
        <v>436</v>
      </c>
      <c r="E3" s="25" t="s">
        <v>17</v>
      </c>
      <c r="F3" s="26" t="s">
        <v>3</v>
      </c>
      <c r="G3" s="27"/>
      <c r="H3" s="4" t="s">
        <v>66</v>
      </c>
      <c r="I3" s="4" t="s">
        <v>437</v>
      </c>
      <c r="J3" s="4" t="s">
        <v>438</v>
      </c>
      <c r="K3" s="4" t="s">
        <v>439</v>
      </c>
      <c r="L3" s="4" t="s">
        <v>440</v>
      </c>
      <c r="M3" s="4" t="s">
        <v>441</v>
      </c>
      <c r="N3" s="205" t="s">
        <v>442</v>
      </c>
      <c r="O3" s="4" t="s">
        <v>67</v>
      </c>
    </row>
    <row r="4" spans="1:15" ht="15" customHeight="1" thickBot="1" x14ac:dyDescent="0.25">
      <c r="A4" s="207">
        <v>2020</v>
      </c>
      <c r="B4" s="28" t="s">
        <v>68</v>
      </c>
      <c r="C4" s="29">
        <v>0</v>
      </c>
      <c r="D4" s="30">
        <v>17467640</v>
      </c>
      <c r="E4" s="31">
        <v>26047544</v>
      </c>
      <c r="F4" s="32">
        <v>239867748.50131485</v>
      </c>
      <c r="G4" s="33"/>
      <c r="H4" s="33"/>
      <c r="I4" s="34"/>
      <c r="J4" s="3"/>
      <c r="K4" s="3"/>
      <c r="L4" s="3"/>
      <c r="N4" s="206"/>
    </row>
    <row r="5" spans="1:15" ht="15" customHeight="1" thickBot="1" x14ac:dyDescent="0.25">
      <c r="A5" s="208"/>
      <c r="B5" s="35" t="s">
        <v>69</v>
      </c>
      <c r="C5" s="29">
        <v>0</v>
      </c>
      <c r="D5" s="36">
        <v>17255566</v>
      </c>
      <c r="E5" s="30">
        <v>14311644</v>
      </c>
      <c r="F5" s="32">
        <v>166269502</v>
      </c>
      <c r="G5" s="33"/>
      <c r="H5" s="33"/>
      <c r="I5" s="34"/>
      <c r="J5" s="3"/>
      <c r="K5" s="3"/>
      <c r="L5" s="3"/>
      <c r="N5" s="206"/>
    </row>
    <row r="6" spans="1:15" ht="15" customHeight="1" thickBot="1" x14ac:dyDescent="0.25">
      <c r="A6" s="208"/>
      <c r="B6" s="35" t="s">
        <v>70</v>
      </c>
      <c r="C6" s="37">
        <v>0</v>
      </c>
      <c r="D6" s="31">
        <v>212074</v>
      </c>
      <c r="E6" s="31">
        <v>11735900</v>
      </c>
      <c r="F6" s="38">
        <v>73313107.52170825</v>
      </c>
      <c r="G6" s="33"/>
      <c r="H6" s="33" t="s">
        <v>64</v>
      </c>
      <c r="I6" s="34"/>
      <c r="J6" s="3"/>
      <c r="K6" s="3"/>
      <c r="L6" s="3"/>
      <c r="N6" s="206"/>
    </row>
    <row r="7" spans="1:15" ht="15" customHeight="1" thickBot="1" x14ac:dyDescent="0.25">
      <c r="A7" s="209"/>
      <c r="B7" s="39" t="s">
        <v>71</v>
      </c>
      <c r="C7" s="40" t="s">
        <v>72</v>
      </c>
      <c r="D7" s="41">
        <v>98.785903533619873</v>
      </c>
      <c r="E7" s="41">
        <v>54.944312600067015</v>
      </c>
      <c r="F7" s="42">
        <v>69.317156240822669</v>
      </c>
      <c r="G7" s="43"/>
      <c r="H7" s="43"/>
      <c r="I7" s="34"/>
      <c r="J7" s="44"/>
      <c r="K7" s="44"/>
      <c r="L7" s="44"/>
      <c r="N7" s="206"/>
    </row>
    <row r="8" spans="1:15" ht="15" customHeight="1" thickBot="1" x14ac:dyDescent="0.25">
      <c r="A8" s="210">
        <v>2021</v>
      </c>
      <c r="B8" s="45" t="s">
        <v>73</v>
      </c>
      <c r="C8" s="46">
        <v>0</v>
      </c>
      <c r="D8" s="47">
        <v>212074</v>
      </c>
      <c r="E8" s="48">
        <v>11735900</v>
      </c>
      <c r="F8" s="49">
        <v>73085825.52170825</v>
      </c>
      <c r="G8" s="33"/>
      <c r="H8" s="33"/>
      <c r="I8" s="34"/>
      <c r="J8" s="44"/>
      <c r="K8" s="44"/>
      <c r="L8" s="44"/>
      <c r="N8" s="206"/>
    </row>
    <row r="9" spans="1:15" ht="15" customHeight="1" thickBot="1" x14ac:dyDescent="0.25">
      <c r="A9" s="211"/>
      <c r="B9" s="50" t="s">
        <v>74</v>
      </c>
      <c r="C9" s="51" t="s">
        <v>72</v>
      </c>
      <c r="D9" s="52">
        <v>100</v>
      </c>
      <c r="E9" s="52">
        <v>100</v>
      </c>
      <c r="F9" s="53">
        <v>99.68998449570195</v>
      </c>
      <c r="G9" s="33"/>
      <c r="H9" s="33"/>
      <c r="I9" s="34"/>
      <c r="J9" s="44"/>
      <c r="K9" s="44"/>
      <c r="L9" s="44"/>
      <c r="N9" s="206"/>
    </row>
    <row r="10" spans="1:15" ht="15" customHeight="1" thickBot="1" x14ac:dyDescent="0.25">
      <c r="A10" s="211"/>
      <c r="B10" s="54" t="s">
        <v>75</v>
      </c>
      <c r="C10" s="55">
        <v>0</v>
      </c>
      <c r="D10" s="48">
        <v>212074</v>
      </c>
      <c r="E10" s="48">
        <v>27125810</v>
      </c>
      <c r="F10" s="49">
        <v>167694095.09426883</v>
      </c>
      <c r="G10" s="33"/>
      <c r="H10" s="33"/>
      <c r="I10" s="34"/>
      <c r="J10" s="44"/>
      <c r="K10" s="44"/>
      <c r="L10" s="44"/>
      <c r="N10" s="206"/>
    </row>
    <row r="11" spans="1:15" ht="15" customHeight="1" thickBot="1" x14ac:dyDescent="0.25">
      <c r="A11" s="211"/>
      <c r="B11" s="50" t="s">
        <v>76</v>
      </c>
      <c r="C11" s="29">
        <v>0</v>
      </c>
      <c r="D11" s="56">
        <v>0</v>
      </c>
      <c r="E11" s="30">
        <v>17397772</v>
      </c>
      <c r="F11" s="49">
        <v>144379054.69103497</v>
      </c>
      <c r="G11" s="57"/>
      <c r="H11" s="33"/>
      <c r="I11" s="34"/>
      <c r="J11" s="44"/>
      <c r="K11" s="44"/>
      <c r="L11" s="44"/>
      <c r="N11" s="206"/>
    </row>
    <row r="12" spans="1:15" ht="15" customHeight="1" thickBot="1" x14ac:dyDescent="0.25">
      <c r="A12" s="211"/>
      <c r="B12" s="50" t="s">
        <v>77</v>
      </c>
      <c r="C12" s="58">
        <v>0</v>
      </c>
      <c r="D12" s="30">
        <v>212074</v>
      </c>
      <c r="E12" s="30">
        <v>9728038</v>
      </c>
      <c r="F12" s="49">
        <v>29864396.403233871</v>
      </c>
      <c r="G12" s="59"/>
      <c r="H12" s="59"/>
      <c r="I12" s="60" t="s">
        <v>420</v>
      </c>
      <c r="J12" s="61"/>
      <c r="K12" s="61"/>
      <c r="L12" s="61"/>
      <c r="N12" s="206"/>
    </row>
    <row r="13" spans="1:15" ht="15" customHeight="1" thickBot="1" x14ac:dyDescent="0.25">
      <c r="A13" s="212"/>
      <c r="B13" s="62" t="s">
        <v>78</v>
      </c>
      <c r="C13" s="52" t="s">
        <v>72</v>
      </c>
      <c r="D13" s="63">
        <v>0</v>
      </c>
      <c r="E13" s="52">
        <v>64.137336359725296</v>
      </c>
      <c r="F13" s="64">
        <v>86.096683732288028</v>
      </c>
      <c r="G13" s="65"/>
      <c r="H13" s="65"/>
      <c r="I13" s="34"/>
      <c r="J13" s="44"/>
      <c r="K13" s="44"/>
      <c r="L13" s="44"/>
      <c r="N13" s="206"/>
    </row>
    <row r="14" spans="1:15" ht="15" customHeight="1" thickBot="1" x14ac:dyDescent="0.25">
      <c r="A14" s="213">
        <v>2022</v>
      </c>
      <c r="B14" s="50" t="s">
        <v>79</v>
      </c>
      <c r="C14" s="55">
        <v>0</v>
      </c>
      <c r="D14" s="48">
        <v>212074</v>
      </c>
      <c r="E14" s="66">
        <v>9728038</v>
      </c>
      <c r="F14" s="49">
        <v>21546577.023356002</v>
      </c>
    </row>
    <row r="15" spans="1:15" ht="15" customHeight="1" thickBot="1" x14ac:dyDescent="0.25">
      <c r="A15" s="214"/>
      <c r="B15" s="50" t="s">
        <v>80</v>
      </c>
      <c r="C15" s="67" t="s">
        <v>72</v>
      </c>
      <c r="D15" s="67">
        <v>100</v>
      </c>
      <c r="E15" s="67">
        <v>100</v>
      </c>
      <c r="F15" s="68">
        <v>72.148041207431959</v>
      </c>
    </row>
    <row r="16" spans="1:15" ht="15" customHeight="1" thickBot="1" x14ac:dyDescent="0.25">
      <c r="A16" s="214"/>
      <c r="B16" s="50" t="s">
        <v>81</v>
      </c>
      <c r="C16" s="48">
        <v>16051515</v>
      </c>
      <c r="D16" s="48">
        <v>5198450</v>
      </c>
      <c r="E16" s="69">
        <v>46131125</v>
      </c>
      <c r="F16" s="49">
        <v>241068473.984485</v>
      </c>
    </row>
    <row r="17" spans="1:11" ht="15" customHeight="1" thickBot="1" x14ac:dyDescent="0.25">
      <c r="A17" s="214"/>
      <c r="B17" s="50" t="s">
        <v>82</v>
      </c>
      <c r="C17" s="31">
        <v>14446364</v>
      </c>
      <c r="D17" s="31">
        <v>5173420</v>
      </c>
      <c r="E17" s="31">
        <v>43088675</v>
      </c>
      <c r="F17" s="49">
        <v>201164929</v>
      </c>
      <c r="G17" s="57"/>
    </row>
    <row r="18" spans="1:11" ht="15" customHeight="1" thickBot="1" x14ac:dyDescent="0.3">
      <c r="A18" s="215"/>
      <c r="B18" s="50" t="s">
        <v>83</v>
      </c>
      <c r="C18" s="31">
        <v>90.000003114970767</v>
      </c>
      <c r="D18" s="31">
        <v>99.518510325193091</v>
      </c>
      <c r="E18" s="31">
        <v>93.404778227281469</v>
      </c>
      <c r="F18" s="70">
        <v>83.447215504814125</v>
      </c>
    </row>
    <row r="20" spans="1:11" ht="15.75" x14ac:dyDescent="0.25">
      <c r="B20" s="22" t="s">
        <v>84</v>
      </c>
    </row>
    <row r="21" spans="1:11" ht="18.75" customHeight="1" x14ac:dyDescent="0.2">
      <c r="A21" s="71"/>
      <c r="B21" s="72" t="s">
        <v>85</v>
      </c>
      <c r="C21" s="23" t="s">
        <v>4</v>
      </c>
      <c r="D21" s="23" t="s">
        <v>87</v>
      </c>
      <c r="E21" s="23" t="s">
        <v>87</v>
      </c>
      <c r="F21" s="23" t="s">
        <v>7</v>
      </c>
      <c r="G21" s="23" t="s">
        <v>87</v>
      </c>
      <c r="H21" s="23" t="s">
        <v>87</v>
      </c>
      <c r="I21" s="23" t="s">
        <v>17</v>
      </c>
      <c r="J21" s="23" t="s">
        <v>87</v>
      </c>
      <c r="K21" s="23" t="s">
        <v>87</v>
      </c>
    </row>
    <row r="22" spans="1:11" ht="15.75" x14ac:dyDescent="0.2">
      <c r="A22" s="73"/>
      <c r="B22" s="74" t="s">
        <v>0</v>
      </c>
      <c r="C22" s="23">
        <v>2020</v>
      </c>
      <c r="D22" s="23">
        <v>2021</v>
      </c>
      <c r="E22" s="23">
        <v>2022</v>
      </c>
      <c r="F22" s="23">
        <v>2020</v>
      </c>
      <c r="G22" s="23">
        <v>2021</v>
      </c>
      <c r="H22" s="23">
        <v>2022</v>
      </c>
      <c r="I22" s="23">
        <v>2020</v>
      </c>
      <c r="J22" s="23">
        <v>2021</v>
      </c>
      <c r="K22" s="23">
        <v>2022</v>
      </c>
    </row>
    <row r="23" spans="1:11" ht="15.75" x14ac:dyDescent="0.2">
      <c r="A23" s="201" t="s">
        <v>88</v>
      </c>
      <c r="B23" s="75" t="s">
        <v>443</v>
      </c>
      <c r="C23" s="76">
        <v>43294285</v>
      </c>
      <c r="D23" s="76">
        <v>66757381</v>
      </c>
      <c r="E23" s="76">
        <v>103016907</v>
      </c>
      <c r="F23" s="76">
        <v>98870848</v>
      </c>
      <c r="G23" s="76">
        <v>26216859</v>
      </c>
      <c r="H23" s="76">
        <v>87344763</v>
      </c>
      <c r="I23" s="76">
        <v>113582567</v>
      </c>
      <c r="J23" s="76">
        <v>126299731</v>
      </c>
      <c r="K23" s="76">
        <v>151181247</v>
      </c>
    </row>
    <row r="24" spans="1:11" ht="15.75" x14ac:dyDescent="0.2">
      <c r="A24" s="201"/>
      <c r="B24" s="75" t="s">
        <v>444</v>
      </c>
      <c r="C24" s="76">
        <v>28977453</v>
      </c>
      <c r="D24" s="76">
        <v>29426451</v>
      </c>
      <c r="E24" s="76">
        <v>26000000</v>
      </c>
      <c r="F24" s="76">
        <v>32321005</v>
      </c>
      <c r="G24" s="76">
        <v>31031530</v>
      </c>
      <c r="H24" s="76">
        <v>29000000</v>
      </c>
      <c r="I24" s="76">
        <v>85817840</v>
      </c>
      <c r="J24" s="76">
        <v>79183904</v>
      </c>
      <c r="K24" s="76">
        <v>73000000</v>
      </c>
    </row>
    <row r="25" spans="1:11" ht="15.75" x14ac:dyDescent="0.2">
      <c r="A25" s="201"/>
      <c r="B25" s="75" t="s">
        <v>445</v>
      </c>
      <c r="C25" s="76">
        <v>1539447</v>
      </c>
      <c r="D25" s="76" t="s">
        <v>89</v>
      </c>
      <c r="E25" s="76" t="s">
        <v>89</v>
      </c>
      <c r="F25" s="76" t="s">
        <v>89</v>
      </c>
      <c r="G25" s="76" t="s">
        <v>89</v>
      </c>
      <c r="H25" s="76" t="s">
        <v>89</v>
      </c>
      <c r="I25" s="76">
        <v>5913802</v>
      </c>
      <c r="J25" s="76">
        <v>41671077</v>
      </c>
      <c r="K25" s="76">
        <v>41671077</v>
      </c>
    </row>
    <row r="26" spans="1:11" ht="18.75" x14ac:dyDescent="0.2">
      <c r="A26" s="201"/>
      <c r="B26" s="75" t="s">
        <v>446</v>
      </c>
      <c r="C26" s="76" t="s">
        <v>89</v>
      </c>
      <c r="D26" s="76" t="s">
        <v>89</v>
      </c>
      <c r="E26" s="76" t="s">
        <v>89</v>
      </c>
      <c r="F26" s="76" t="s">
        <v>89</v>
      </c>
      <c r="G26" s="76" t="s">
        <v>89</v>
      </c>
      <c r="H26" s="76" t="s">
        <v>89</v>
      </c>
      <c r="I26" s="76">
        <v>4671668</v>
      </c>
      <c r="J26" s="76">
        <v>5099446</v>
      </c>
      <c r="K26" s="76">
        <v>65706</v>
      </c>
    </row>
    <row r="27" spans="1:11" ht="15.75" x14ac:dyDescent="0.2">
      <c r="A27" s="202"/>
      <c r="B27" s="75" t="s">
        <v>90</v>
      </c>
      <c r="C27" s="76">
        <v>40630</v>
      </c>
      <c r="D27" s="76">
        <v>402245</v>
      </c>
      <c r="E27" s="76">
        <v>402245</v>
      </c>
      <c r="F27" s="76">
        <v>3486</v>
      </c>
      <c r="G27" s="76">
        <v>10321</v>
      </c>
      <c r="H27" s="76">
        <v>10321</v>
      </c>
      <c r="I27" s="76">
        <v>10740</v>
      </c>
      <c r="J27" s="76" t="s">
        <v>89</v>
      </c>
      <c r="K27" s="76" t="s">
        <v>89</v>
      </c>
    </row>
    <row r="28" spans="1:11" ht="15.75" x14ac:dyDescent="0.2">
      <c r="A28" s="226" t="s">
        <v>91</v>
      </c>
      <c r="B28" s="74" t="s">
        <v>92</v>
      </c>
      <c r="C28" s="76">
        <v>61427632</v>
      </c>
      <c r="D28" s="76">
        <v>50006218</v>
      </c>
      <c r="E28" s="76">
        <v>98492016</v>
      </c>
      <c r="F28" s="76">
        <v>15358383</v>
      </c>
      <c r="G28" s="76">
        <v>1573969</v>
      </c>
      <c r="H28" s="76">
        <v>1470927</v>
      </c>
      <c r="I28" s="76">
        <v>6799480</v>
      </c>
      <c r="J28" s="76">
        <v>6528208</v>
      </c>
      <c r="K28" s="76">
        <v>6663844</v>
      </c>
    </row>
    <row r="29" spans="1:11" ht="18" x14ac:dyDescent="0.2">
      <c r="A29" s="227"/>
      <c r="B29" s="77"/>
      <c r="C29" s="78" t="s">
        <v>87</v>
      </c>
      <c r="D29" s="78" t="s">
        <v>87</v>
      </c>
      <c r="E29" s="78" t="s">
        <v>87</v>
      </c>
      <c r="F29" s="78" t="s">
        <v>87</v>
      </c>
      <c r="G29" s="78" t="s">
        <v>87</v>
      </c>
      <c r="H29" s="78" t="s">
        <v>87</v>
      </c>
      <c r="I29" s="78">
        <v>5</v>
      </c>
      <c r="J29" s="78">
        <v>5</v>
      </c>
      <c r="K29" s="78">
        <v>5</v>
      </c>
    </row>
    <row r="30" spans="1:11" ht="15.75" x14ac:dyDescent="0.2">
      <c r="A30" s="227"/>
      <c r="B30" s="74" t="s">
        <v>59</v>
      </c>
      <c r="C30" s="76">
        <v>27553483</v>
      </c>
      <c r="D30" s="76">
        <v>23061297</v>
      </c>
      <c r="E30" s="76">
        <v>74798345</v>
      </c>
      <c r="F30" s="76">
        <v>84260635</v>
      </c>
      <c r="G30" s="76">
        <v>15473237</v>
      </c>
      <c r="H30" s="76">
        <v>141882820</v>
      </c>
      <c r="I30" s="76">
        <v>116796451</v>
      </c>
      <c r="J30" s="76">
        <v>66425495</v>
      </c>
      <c r="K30" s="76">
        <v>120468411</v>
      </c>
    </row>
    <row r="31" spans="1:11" ht="15.75" x14ac:dyDescent="0.2">
      <c r="A31" s="227"/>
      <c r="B31" s="74" t="s">
        <v>93</v>
      </c>
      <c r="C31" s="76">
        <v>18844577</v>
      </c>
      <c r="D31" s="76">
        <v>14739304</v>
      </c>
      <c r="E31" s="76">
        <v>17181246</v>
      </c>
      <c r="F31" s="76">
        <v>29000000</v>
      </c>
      <c r="G31" s="76">
        <v>29000000</v>
      </c>
      <c r="H31" s="76">
        <v>2795300</v>
      </c>
      <c r="I31" s="76">
        <v>70000000</v>
      </c>
      <c r="J31" s="76">
        <v>77000000</v>
      </c>
      <c r="K31" s="76">
        <v>740000000</v>
      </c>
    </row>
    <row r="32" spans="1:11" ht="15.75" x14ac:dyDescent="0.2">
      <c r="A32" s="227"/>
      <c r="B32" s="74" t="s">
        <v>94</v>
      </c>
      <c r="C32" s="76">
        <v>42623</v>
      </c>
      <c r="D32" s="76">
        <v>0</v>
      </c>
      <c r="E32" s="76">
        <v>0</v>
      </c>
      <c r="F32" s="76" t="s">
        <v>89</v>
      </c>
      <c r="G32" s="76" t="s">
        <v>89</v>
      </c>
      <c r="H32" s="76" t="s">
        <v>89</v>
      </c>
      <c r="I32" s="76" t="s">
        <v>89</v>
      </c>
      <c r="J32" s="76" t="s">
        <v>89</v>
      </c>
      <c r="K32" s="76" t="s">
        <v>89</v>
      </c>
    </row>
    <row r="33" spans="1:21" ht="31.5" x14ac:dyDescent="0.2">
      <c r="A33" s="227"/>
      <c r="B33" s="74" t="s">
        <v>95</v>
      </c>
      <c r="C33" s="76" t="s">
        <v>89</v>
      </c>
      <c r="D33" s="76" t="s">
        <v>89</v>
      </c>
      <c r="E33" s="76">
        <v>0</v>
      </c>
      <c r="F33" s="76">
        <v>1102477</v>
      </c>
      <c r="G33" s="76">
        <v>1138630</v>
      </c>
      <c r="H33" s="76">
        <v>1363895</v>
      </c>
      <c r="I33" s="76" t="s">
        <v>89</v>
      </c>
      <c r="J33" s="76" t="s">
        <v>89</v>
      </c>
      <c r="K33" s="76" t="s">
        <v>89</v>
      </c>
    </row>
    <row r="34" spans="1:21" ht="15.75" x14ac:dyDescent="0.2">
      <c r="A34" s="227"/>
      <c r="B34" s="74" t="s">
        <v>96</v>
      </c>
      <c r="C34" s="76">
        <v>52206</v>
      </c>
      <c r="D34" s="76">
        <v>17066</v>
      </c>
      <c r="E34" s="76">
        <v>17677</v>
      </c>
      <c r="F34" s="76">
        <v>67741</v>
      </c>
      <c r="G34" s="76" t="s">
        <v>89</v>
      </c>
      <c r="H34" s="76">
        <v>70000</v>
      </c>
      <c r="I34" s="76" t="s">
        <v>89</v>
      </c>
      <c r="J34" s="76" t="s">
        <v>89</v>
      </c>
      <c r="K34" s="76" t="s">
        <v>89</v>
      </c>
    </row>
    <row r="35" spans="1:21" ht="15.75" x14ac:dyDescent="0.2">
      <c r="A35" s="227"/>
      <c r="B35" s="74" t="s">
        <v>97</v>
      </c>
      <c r="C35" s="76">
        <v>333334</v>
      </c>
      <c r="D35" s="76">
        <v>331713</v>
      </c>
      <c r="E35" s="76">
        <v>153483</v>
      </c>
      <c r="F35" s="76">
        <v>2051725</v>
      </c>
      <c r="G35" s="76" t="s">
        <v>89</v>
      </c>
      <c r="H35" s="76" t="s">
        <v>89</v>
      </c>
      <c r="I35" s="76" t="s">
        <v>89</v>
      </c>
      <c r="J35" s="76" t="s">
        <v>89</v>
      </c>
      <c r="K35" s="76" t="s">
        <v>89</v>
      </c>
    </row>
    <row r="36" spans="1:21" ht="34.5" x14ac:dyDescent="0.2">
      <c r="A36" s="228"/>
      <c r="B36" s="74" t="s">
        <v>447</v>
      </c>
      <c r="C36" s="76">
        <v>8289677</v>
      </c>
      <c r="D36" s="76">
        <v>7443864</v>
      </c>
      <c r="E36" s="76">
        <v>5382660</v>
      </c>
      <c r="F36" s="76" t="s">
        <v>89</v>
      </c>
      <c r="G36" s="76">
        <v>2525488</v>
      </c>
      <c r="H36" s="76">
        <v>1265934</v>
      </c>
      <c r="I36" s="76" t="s">
        <v>89</v>
      </c>
      <c r="J36" s="76" t="s">
        <v>89</v>
      </c>
      <c r="K36" s="76" t="s">
        <v>89</v>
      </c>
    </row>
    <row r="38" spans="1:21" x14ac:dyDescent="0.2">
      <c r="D38" s="4" t="s">
        <v>98</v>
      </c>
    </row>
    <row r="39" spans="1:21" ht="31.5" x14ac:dyDescent="0.2">
      <c r="A39" s="79" t="s">
        <v>85</v>
      </c>
      <c r="B39" s="4" t="s">
        <v>4</v>
      </c>
      <c r="C39" s="4" t="s">
        <v>87</v>
      </c>
      <c r="D39" s="4" t="s">
        <v>87</v>
      </c>
      <c r="E39" s="4" t="s">
        <v>7</v>
      </c>
      <c r="F39" s="4" t="s">
        <v>87</v>
      </c>
      <c r="G39" s="4" t="s">
        <v>87</v>
      </c>
      <c r="H39" s="4" t="s">
        <v>17</v>
      </c>
      <c r="I39" s="4" t="s">
        <v>87</v>
      </c>
      <c r="J39" s="4" t="s">
        <v>87</v>
      </c>
      <c r="K39" s="4"/>
      <c r="L39" s="4"/>
      <c r="M39" s="80" t="s">
        <v>99</v>
      </c>
      <c r="N39" s="4" t="s">
        <v>100</v>
      </c>
      <c r="O39" s="80" t="s">
        <v>101</v>
      </c>
      <c r="P39" s="80" t="s">
        <v>102</v>
      </c>
      <c r="Q39" s="4" t="s">
        <v>103</v>
      </c>
      <c r="R39" s="4" t="s">
        <v>104</v>
      </c>
      <c r="S39" s="4" t="s">
        <v>105</v>
      </c>
      <c r="T39" s="81" t="s">
        <v>106</v>
      </c>
      <c r="U39" s="4" t="s">
        <v>107</v>
      </c>
    </row>
    <row r="40" spans="1:21" ht="15.75" x14ac:dyDescent="0.2">
      <c r="A40" s="82" t="s">
        <v>0</v>
      </c>
      <c r="B40" s="4">
        <v>2020</v>
      </c>
      <c r="C40" s="4">
        <v>2021</v>
      </c>
      <c r="D40" s="4">
        <v>2022</v>
      </c>
      <c r="E40" s="4">
        <v>2020</v>
      </c>
      <c r="F40" s="4">
        <v>2021</v>
      </c>
      <c r="G40" s="4">
        <v>2022</v>
      </c>
      <c r="H40" s="4">
        <v>2020</v>
      </c>
      <c r="I40" s="4">
        <v>2021</v>
      </c>
      <c r="J40" s="4">
        <v>2022</v>
      </c>
      <c r="K40" s="4"/>
      <c r="L40" s="4"/>
      <c r="M40" s="83"/>
      <c r="N40" s="80"/>
      <c r="O40" s="4"/>
      <c r="P40" s="80"/>
      <c r="Q40" s="80"/>
      <c r="R40" s="4"/>
      <c r="S40" s="4"/>
      <c r="T40" s="4"/>
      <c r="U40" s="4"/>
    </row>
    <row r="41" spans="1:21" ht="15.75" x14ac:dyDescent="0.2">
      <c r="A41" s="84" t="s">
        <v>108</v>
      </c>
      <c r="B41" s="85">
        <v>1017084</v>
      </c>
      <c r="C41" s="85">
        <v>1353233</v>
      </c>
      <c r="D41" s="85">
        <v>15685633</v>
      </c>
      <c r="E41" s="85">
        <v>24534223</v>
      </c>
      <c r="F41" s="85">
        <v>1606570</v>
      </c>
      <c r="G41" s="85">
        <v>6978504</v>
      </c>
      <c r="H41" s="85">
        <v>18142437</v>
      </c>
      <c r="I41" s="85">
        <v>19366570</v>
      </c>
      <c r="J41" s="85">
        <v>43876340</v>
      </c>
      <c r="K41" s="5"/>
      <c r="L41" s="5"/>
      <c r="M41" s="5"/>
      <c r="N41" s="80"/>
      <c r="O41" s="4"/>
      <c r="P41" s="83"/>
      <c r="Q41" s="80"/>
      <c r="R41" s="4"/>
      <c r="S41" s="4"/>
      <c r="T41" s="4"/>
      <c r="U41" s="4"/>
    </row>
    <row r="42" spans="1:21" ht="31.5" x14ac:dyDescent="0.2">
      <c r="A42" s="84" t="s">
        <v>109</v>
      </c>
      <c r="B42" s="86">
        <v>36.400111370380699</v>
      </c>
      <c r="C42" s="86">
        <v>53.633982674444702</v>
      </c>
      <c r="D42" s="86">
        <v>83.318466026731798</v>
      </c>
      <c r="E42" s="86">
        <v>72.001645638650103</v>
      </c>
      <c r="F42" s="86">
        <v>67.920226104696198</v>
      </c>
      <c r="G42" s="86">
        <v>55.016748611222802</v>
      </c>
      <c r="H42" s="86">
        <v>52.202928839785699</v>
      </c>
      <c r="I42" s="86">
        <v>46.746435149805201</v>
      </c>
      <c r="J42" s="86">
        <v>51.993606641578104</v>
      </c>
      <c r="K42" s="86"/>
      <c r="L42" s="86"/>
      <c r="M42" s="86"/>
      <c r="N42" s="87"/>
      <c r="O42" s="88"/>
      <c r="P42" s="89"/>
      <c r="Q42" s="87"/>
      <c r="R42" s="88"/>
      <c r="S42" s="88"/>
      <c r="T42" s="88"/>
      <c r="U42" s="88"/>
    </row>
    <row r="43" spans="1:21" ht="15.75" x14ac:dyDescent="0.2">
      <c r="A43" s="90" t="s">
        <v>110</v>
      </c>
      <c r="B43" s="85">
        <v>508017</v>
      </c>
      <c r="C43" s="85">
        <v>591249</v>
      </c>
      <c r="D43" s="85" t="s">
        <v>89</v>
      </c>
      <c r="E43" s="85">
        <v>6880851</v>
      </c>
      <c r="F43" s="85">
        <v>6484733</v>
      </c>
      <c r="G43" s="85">
        <v>5683813</v>
      </c>
      <c r="H43" s="85" t="s">
        <v>89</v>
      </c>
      <c r="I43" s="85" t="s">
        <v>89</v>
      </c>
      <c r="J43" s="85" t="s">
        <v>89</v>
      </c>
      <c r="K43" s="5"/>
      <c r="L43" s="5"/>
      <c r="M43" s="5"/>
      <c r="N43" s="80"/>
      <c r="O43" s="4"/>
      <c r="P43" s="83"/>
      <c r="Q43" s="80"/>
      <c r="R43" s="4"/>
      <c r="S43" s="4"/>
      <c r="T43" s="4"/>
      <c r="U43" s="4"/>
    </row>
    <row r="44" spans="1:21" ht="15.75" x14ac:dyDescent="0.2">
      <c r="A44" s="90" t="s">
        <v>111</v>
      </c>
      <c r="B44" s="85">
        <v>12936865</v>
      </c>
      <c r="C44" s="85">
        <v>9794711</v>
      </c>
      <c r="D44" s="85">
        <v>16410865</v>
      </c>
      <c r="E44" s="85">
        <v>21425892</v>
      </c>
      <c r="F44" s="85">
        <v>24986825</v>
      </c>
      <c r="G44" s="85">
        <v>27978200</v>
      </c>
      <c r="H44" s="85">
        <v>15593375</v>
      </c>
      <c r="I44" s="85">
        <v>40314426</v>
      </c>
      <c r="J44" s="85">
        <v>19102990</v>
      </c>
      <c r="K44" s="5"/>
      <c r="L44" s="5"/>
      <c r="M44" s="91"/>
      <c r="N44" s="4"/>
      <c r="O44" s="4"/>
      <c r="P44" s="83"/>
      <c r="Q44" s="4"/>
      <c r="R44" s="4"/>
      <c r="S44" s="4"/>
      <c r="T44" s="4"/>
      <c r="U44" s="4"/>
    </row>
    <row r="45" spans="1:21" ht="31.5" x14ac:dyDescent="0.2">
      <c r="A45" s="90" t="s">
        <v>112</v>
      </c>
      <c r="B45" s="85" t="s">
        <v>113</v>
      </c>
      <c r="C45" s="85">
        <v>8892174</v>
      </c>
      <c r="D45" s="85">
        <v>9104729</v>
      </c>
      <c r="E45" s="85">
        <v>17808682</v>
      </c>
      <c r="F45" s="85">
        <v>18756461</v>
      </c>
      <c r="G45" s="85">
        <v>17178580</v>
      </c>
      <c r="H45" s="85">
        <v>17892696</v>
      </c>
      <c r="I45" s="85">
        <v>40314426</v>
      </c>
      <c r="J45" s="85">
        <v>19110886</v>
      </c>
      <c r="K45" s="5"/>
      <c r="L45" s="5"/>
      <c r="M45" s="5"/>
      <c r="N45" s="4"/>
      <c r="O45" s="4"/>
      <c r="P45" s="83"/>
      <c r="Q45" s="4"/>
      <c r="R45" s="4"/>
      <c r="S45" s="4"/>
      <c r="T45" s="4"/>
      <c r="U45" s="4"/>
    </row>
    <row r="46" spans="1:21" ht="31.5" x14ac:dyDescent="0.2">
      <c r="A46" s="90" t="s">
        <v>114</v>
      </c>
      <c r="B46" s="85">
        <v>10237424</v>
      </c>
      <c r="C46" s="85">
        <v>11030942</v>
      </c>
      <c r="D46" s="85">
        <v>10693078</v>
      </c>
      <c r="E46" s="85">
        <v>11132323</v>
      </c>
      <c r="F46" s="85">
        <v>9979416</v>
      </c>
      <c r="G46" s="85">
        <v>12281121</v>
      </c>
      <c r="H46" s="85">
        <v>19902369</v>
      </c>
      <c r="I46" s="85">
        <v>22634148</v>
      </c>
      <c r="J46" s="85">
        <v>23704759</v>
      </c>
      <c r="K46" s="229" t="s">
        <v>115</v>
      </c>
      <c r="L46" s="5"/>
      <c r="M46" s="5"/>
      <c r="N46" s="4"/>
      <c r="O46" s="4"/>
      <c r="P46" s="83"/>
      <c r="Q46" s="4"/>
      <c r="R46" s="4"/>
      <c r="S46" s="4"/>
      <c r="T46" s="4"/>
      <c r="U46" s="4"/>
    </row>
    <row r="47" spans="1:21" ht="15.75" x14ac:dyDescent="0.2">
      <c r="A47" s="90" t="s">
        <v>116</v>
      </c>
      <c r="B47" s="85" t="s">
        <v>117</v>
      </c>
      <c r="C47" s="85">
        <v>8892174</v>
      </c>
      <c r="D47" s="85">
        <v>9104729</v>
      </c>
      <c r="E47" s="85">
        <v>17808682</v>
      </c>
      <c r="F47" s="85">
        <v>18756461</v>
      </c>
      <c r="G47" s="85">
        <v>17178580</v>
      </c>
      <c r="H47" s="85">
        <v>17892696</v>
      </c>
      <c r="I47" s="85">
        <v>40314426</v>
      </c>
      <c r="J47" s="85">
        <v>19110886</v>
      </c>
      <c r="K47" s="229"/>
      <c r="L47" s="5"/>
      <c r="M47" s="5"/>
      <c r="N47" s="4"/>
      <c r="O47" s="4"/>
      <c r="P47" s="83"/>
      <c r="Q47" s="4"/>
      <c r="R47" s="4"/>
      <c r="S47" s="4"/>
      <c r="T47" s="4"/>
      <c r="U47" s="4"/>
    </row>
    <row r="48" spans="1:21" ht="15.75" x14ac:dyDescent="0.2">
      <c r="A48" s="90" t="s">
        <v>118</v>
      </c>
      <c r="B48" s="85">
        <v>10237424</v>
      </c>
      <c r="C48" s="85">
        <v>11030942</v>
      </c>
      <c r="D48" s="85">
        <v>10693078</v>
      </c>
      <c r="E48" s="85">
        <v>11132323</v>
      </c>
      <c r="F48" s="85">
        <v>9979416</v>
      </c>
      <c r="G48" s="85">
        <v>12281121</v>
      </c>
      <c r="H48" s="85">
        <v>19902369</v>
      </c>
      <c r="I48" s="85">
        <v>22634148</v>
      </c>
      <c r="J48" s="85">
        <v>23704759</v>
      </c>
      <c r="K48" s="229"/>
      <c r="L48" s="5"/>
      <c r="M48" s="5"/>
      <c r="N48" s="4"/>
      <c r="O48" s="4"/>
      <c r="P48" s="83"/>
      <c r="Q48" s="4"/>
      <c r="R48" s="4"/>
      <c r="S48" s="4"/>
      <c r="T48" s="4"/>
      <c r="U48" s="4"/>
    </row>
    <row r="51" spans="1:12" x14ac:dyDescent="0.2">
      <c r="A51" s="2" t="s">
        <v>119</v>
      </c>
    </row>
    <row r="52" spans="1:12" ht="15" customHeight="1" thickBot="1" x14ac:dyDescent="0.3">
      <c r="A52" s="230" t="s">
        <v>85</v>
      </c>
      <c r="B52" s="231"/>
      <c r="C52" s="92" t="s">
        <v>86</v>
      </c>
      <c r="D52" s="93" t="s">
        <v>4</v>
      </c>
      <c r="E52" s="94" t="s">
        <v>4</v>
      </c>
      <c r="F52" s="93" t="s">
        <v>7</v>
      </c>
      <c r="G52" s="93" t="s">
        <v>17</v>
      </c>
      <c r="H52" s="93" t="s">
        <v>17</v>
      </c>
      <c r="J52" s="232" t="s">
        <v>120</v>
      </c>
      <c r="K52" s="2" t="s">
        <v>121</v>
      </c>
      <c r="L52" s="216" t="s">
        <v>122</v>
      </c>
    </row>
    <row r="53" spans="1:12" ht="15" customHeight="1" thickBot="1" x14ac:dyDescent="0.3">
      <c r="A53" s="217" t="s">
        <v>123</v>
      </c>
      <c r="B53" s="218"/>
      <c r="C53" s="96"/>
      <c r="D53" s="97" t="s">
        <v>6</v>
      </c>
      <c r="E53" s="98" t="s">
        <v>5</v>
      </c>
      <c r="F53" s="97" t="s">
        <v>10</v>
      </c>
      <c r="G53" s="97" t="s">
        <v>21</v>
      </c>
      <c r="H53" s="97" t="s">
        <v>18</v>
      </c>
      <c r="J53" s="233"/>
      <c r="L53" s="216"/>
    </row>
    <row r="54" spans="1:12" ht="15" customHeight="1" thickBot="1" x14ac:dyDescent="0.3">
      <c r="A54" s="219" t="s">
        <v>124</v>
      </c>
      <c r="B54" s="99" t="s">
        <v>125</v>
      </c>
      <c r="C54" s="100"/>
      <c r="D54" s="101">
        <v>75.3</v>
      </c>
      <c r="E54" s="102">
        <v>82.8</v>
      </c>
      <c r="F54" s="101">
        <v>82.2</v>
      </c>
      <c r="G54" s="101">
        <v>60.6</v>
      </c>
      <c r="H54" s="101">
        <v>56</v>
      </c>
      <c r="J54" s="233"/>
      <c r="L54" s="216"/>
    </row>
    <row r="55" spans="1:12" ht="15" customHeight="1" thickBot="1" x14ac:dyDescent="0.3">
      <c r="A55" s="220"/>
      <c r="B55" s="99" t="s">
        <v>126</v>
      </c>
      <c r="C55" s="103"/>
      <c r="D55" s="104">
        <v>41.4</v>
      </c>
      <c r="E55" s="105">
        <v>32.799999999999997</v>
      </c>
      <c r="F55" s="104">
        <v>51.2</v>
      </c>
      <c r="G55" s="104">
        <v>29.8</v>
      </c>
      <c r="H55" s="104">
        <v>25.4</v>
      </c>
      <c r="J55" s="233"/>
      <c r="L55" s="216"/>
    </row>
    <row r="56" spans="1:12" ht="15" customHeight="1" thickBot="1" x14ac:dyDescent="0.3">
      <c r="A56" s="220"/>
      <c r="B56" s="99" t="s">
        <v>127</v>
      </c>
      <c r="C56" s="103"/>
      <c r="D56" s="104" t="s">
        <v>128</v>
      </c>
      <c r="E56" s="105" t="s">
        <v>128</v>
      </c>
      <c r="F56" s="104" t="s">
        <v>128</v>
      </c>
      <c r="G56" s="104" t="s">
        <v>128</v>
      </c>
      <c r="H56" s="104" t="s">
        <v>128</v>
      </c>
      <c r="J56" s="233"/>
      <c r="L56" s="216"/>
    </row>
    <row r="57" spans="1:12" ht="15" customHeight="1" thickBot="1" x14ac:dyDescent="0.3">
      <c r="A57" s="220"/>
      <c r="B57" s="99" t="s">
        <v>129</v>
      </c>
      <c r="C57" s="103"/>
      <c r="D57" s="104" t="s">
        <v>128</v>
      </c>
      <c r="E57" s="105" t="s">
        <v>128</v>
      </c>
      <c r="F57" s="104" t="s">
        <v>128</v>
      </c>
      <c r="G57" s="104" t="s">
        <v>128</v>
      </c>
      <c r="H57" s="104" t="s">
        <v>128</v>
      </c>
      <c r="J57" s="233"/>
      <c r="L57" s="216"/>
    </row>
    <row r="58" spans="1:12" ht="15" customHeight="1" thickBot="1" x14ac:dyDescent="0.3">
      <c r="A58" s="221"/>
      <c r="B58" s="106" t="s">
        <v>130</v>
      </c>
      <c r="C58" s="107"/>
      <c r="D58" s="108" t="s">
        <v>128</v>
      </c>
      <c r="E58" s="109" t="s">
        <v>128</v>
      </c>
      <c r="F58" s="108" t="s">
        <v>128</v>
      </c>
      <c r="G58" s="108" t="s">
        <v>128</v>
      </c>
      <c r="H58" s="108" t="s">
        <v>128</v>
      </c>
      <c r="J58" s="233"/>
      <c r="L58" s="216"/>
    </row>
    <row r="59" spans="1:12" ht="15" customHeight="1" thickBot="1" x14ac:dyDescent="0.3">
      <c r="A59" s="219" t="s">
        <v>131</v>
      </c>
      <c r="B59" s="99" t="s">
        <v>132</v>
      </c>
      <c r="C59" s="103"/>
      <c r="D59" s="104">
        <v>54.5</v>
      </c>
      <c r="E59" s="105">
        <v>64.099999999999994</v>
      </c>
      <c r="F59" s="104">
        <v>68.5</v>
      </c>
      <c r="G59" s="104">
        <v>47.5</v>
      </c>
      <c r="H59" s="104">
        <v>43.1</v>
      </c>
      <c r="J59" s="233"/>
      <c r="L59" s="216"/>
    </row>
    <row r="60" spans="1:12" ht="15" customHeight="1" thickBot="1" x14ac:dyDescent="0.3">
      <c r="A60" s="221"/>
      <c r="B60" s="99" t="s">
        <v>133</v>
      </c>
      <c r="C60" s="103"/>
      <c r="D60" s="104">
        <v>44.1</v>
      </c>
      <c r="E60" s="105">
        <v>61.3</v>
      </c>
      <c r="F60" s="104">
        <v>68.400000000000006</v>
      </c>
      <c r="G60" s="104">
        <v>43.2</v>
      </c>
      <c r="H60" s="104">
        <v>36.4</v>
      </c>
      <c r="J60" s="233"/>
      <c r="L60" s="216"/>
    </row>
    <row r="61" spans="1:12" ht="15" customHeight="1" thickBot="1" x14ac:dyDescent="0.3">
      <c r="A61" s="110" t="s">
        <v>134</v>
      </c>
      <c r="B61" s="111" t="s">
        <v>135</v>
      </c>
      <c r="C61" s="112"/>
      <c r="D61" s="113">
        <v>76</v>
      </c>
      <c r="E61" s="114">
        <v>90.7</v>
      </c>
      <c r="F61" s="113">
        <v>85.4</v>
      </c>
      <c r="G61" s="113">
        <v>80.599999999999994</v>
      </c>
      <c r="H61" s="113">
        <v>75.099999999999994</v>
      </c>
      <c r="J61" s="233"/>
      <c r="L61" s="216"/>
    </row>
    <row r="62" spans="1:12" ht="15" customHeight="1" thickBot="1" x14ac:dyDescent="0.3">
      <c r="A62" s="222" t="s">
        <v>136</v>
      </c>
      <c r="B62" s="99" t="s">
        <v>137</v>
      </c>
      <c r="C62" s="103"/>
      <c r="D62" s="104">
        <v>58.2</v>
      </c>
      <c r="E62" s="105">
        <v>71</v>
      </c>
      <c r="F62" s="104">
        <v>76.400000000000006</v>
      </c>
      <c r="G62" s="104">
        <v>58</v>
      </c>
      <c r="H62" s="104">
        <v>49.6</v>
      </c>
      <c r="J62" s="233"/>
      <c r="L62" s="216"/>
    </row>
    <row r="63" spans="1:12" ht="15" customHeight="1" thickBot="1" x14ac:dyDescent="0.3">
      <c r="A63" s="222"/>
      <c r="B63" s="99" t="s">
        <v>138</v>
      </c>
      <c r="C63" s="103"/>
      <c r="D63" s="104">
        <v>57.7</v>
      </c>
      <c r="E63" s="105">
        <v>56.8</v>
      </c>
      <c r="F63" s="104">
        <v>40.6</v>
      </c>
      <c r="G63" s="104">
        <v>16.600000000000001</v>
      </c>
      <c r="H63" s="104">
        <v>31</v>
      </c>
      <c r="J63" s="233"/>
      <c r="L63" s="216"/>
    </row>
    <row r="64" spans="1:12" ht="15" customHeight="1" thickBot="1" x14ac:dyDescent="0.3">
      <c r="A64" s="223" t="s">
        <v>139</v>
      </c>
      <c r="B64" s="115" t="s">
        <v>140</v>
      </c>
      <c r="C64" s="100"/>
      <c r="D64" s="101">
        <v>54.4</v>
      </c>
      <c r="E64" s="102">
        <v>67.400000000000006</v>
      </c>
      <c r="F64" s="101">
        <v>72.7</v>
      </c>
      <c r="G64" s="101">
        <v>52.2</v>
      </c>
      <c r="H64" s="101">
        <v>41.2</v>
      </c>
      <c r="J64" s="233"/>
      <c r="L64" s="216"/>
    </row>
    <row r="65" spans="1:12" ht="15" customHeight="1" thickBot="1" x14ac:dyDescent="0.3">
      <c r="A65" s="222"/>
      <c r="B65" s="99" t="s">
        <v>141</v>
      </c>
      <c r="C65" s="103"/>
      <c r="D65" s="104">
        <v>50.1</v>
      </c>
      <c r="E65" s="105">
        <v>42.8</v>
      </c>
      <c r="F65" s="104">
        <v>55.2</v>
      </c>
      <c r="G65" s="104">
        <v>41.1</v>
      </c>
      <c r="H65" s="104">
        <v>43.1</v>
      </c>
      <c r="J65" s="233"/>
      <c r="L65" s="216"/>
    </row>
    <row r="66" spans="1:12" ht="15" customHeight="1" thickBot="1" x14ac:dyDescent="0.3">
      <c r="A66" s="222"/>
      <c r="B66" s="99" t="s">
        <v>142</v>
      </c>
      <c r="C66" s="103"/>
      <c r="D66" s="104">
        <v>20.2</v>
      </c>
      <c r="E66" s="105">
        <v>28</v>
      </c>
      <c r="F66" s="104">
        <v>38.9</v>
      </c>
      <c r="G66" s="104">
        <v>36.200000000000003</v>
      </c>
      <c r="H66" s="104">
        <v>39.6</v>
      </c>
      <c r="J66" s="233"/>
    </row>
    <row r="67" spans="1:12" ht="15" customHeight="1" thickBot="1" x14ac:dyDescent="0.3">
      <c r="A67" s="224"/>
      <c r="B67" s="106" t="s">
        <v>143</v>
      </c>
      <c r="C67" s="107"/>
      <c r="D67" s="108">
        <v>16.899999999999999</v>
      </c>
      <c r="E67" s="109">
        <v>14</v>
      </c>
      <c r="F67" s="108" t="s">
        <v>128</v>
      </c>
      <c r="G67" s="108">
        <v>22.6</v>
      </c>
      <c r="H67" s="108">
        <v>22.3</v>
      </c>
      <c r="J67" s="233"/>
    </row>
    <row r="68" spans="1:12" ht="15" customHeight="1" thickBot="1" x14ac:dyDescent="0.3">
      <c r="A68" s="234" t="s">
        <v>144</v>
      </c>
      <c r="B68" s="115" t="s">
        <v>145</v>
      </c>
      <c r="C68" s="100"/>
      <c r="D68" s="101">
        <v>73.5</v>
      </c>
      <c r="E68" s="102">
        <v>74.900000000000006</v>
      </c>
      <c r="F68" s="101">
        <v>68.599999999999994</v>
      </c>
      <c r="G68" s="101">
        <v>72.8</v>
      </c>
      <c r="H68" s="101">
        <v>62.8</v>
      </c>
      <c r="J68" s="22" t="s">
        <v>146</v>
      </c>
    </row>
    <row r="69" spans="1:12" ht="15" customHeight="1" thickBot="1" x14ac:dyDescent="0.3">
      <c r="A69" s="235"/>
      <c r="B69" s="99" t="s">
        <v>147</v>
      </c>
      <c r="C69" s="103"/>
      <c r="D69" s="104">
        <v>48.8</v>
      </c>
      <c r="E69" s="105">
        <v>65</v>
      </c>
      <c r="F69" s="104">
        <v>47.9</v>
      </c>
      <c r="G69" s="104">
        <v>13.8</v>
      </c>
      <c r="H69" s="104">
        <v>24.3</v>
      </c>
      <c r="J69" s="1"/>
    </row>
    <row r="70" spans="1:12" ht="15" customHeight="1" thickBot="1" x14ac:dyDescent="0.3">
      <c r="A70" s="235"/>
      <c r="B70" s="99" t="s">
        <v>148</v>
      </c>
      <c r="C70" s="103"/>
      <c r="D70" s="104">
        <v>51.1</v>
      </c>
      <c r="E70" s="105" t="s">
        <v>128</v>
      </c>
      <c r="F70" s="104">
        <v>32.700000000000003</v>
      </c>
      <c r="G70" s="104">
        <v>43.5</v>
      </c>
      <c r="H70" s="104">
        <v>20.3</v>
      </c>
      <c r="J70" s="1"/>
    </row>
    <row r="71" spans="1:12" ht="15" customHeight="1" thickBot="1" x14ac:dyDescent="0.3">
      <c r="A71" s="236"/>
      <c r="B71" s="106" t="s">
        <v>149</v>
      </c>
      <c r="C71" s="107"/>
      <c r="D71" s="108">
        <v>79.400000000000006</v>
      </c>
      <c r="E71" s="109">
        <v>48.5</v>
      </c>
      <c r="F71" s="108">
        <v>98.6</v>
      </c>
      <c r="G71" s="108">
        <v>52</v>
      </c>
      <c r="H71" s="108">
        <v>73.900000000000006</v>
      </c>
      <c r="J71" s="1"/>
    </row>
    <row r="73" spans="1:12" x14ac:dyDescent="0.2">
      <c r="A73" s="4" t="s">
        <v>150</v>
      </c>
    </row>
    <row r="74" spans="1:12" ht="15" customHeight="1" x14ac:dyDescent="0.25">
      <c r="A74" s="116"/>
      <c r="B74" s="117" t="s">
        <v>85</v>
      </c>
      <c r="C74" s="118" t="s">
        <v>86</v>
      </c>
      <c r="D74" s="119" t="s">
        <v>4</v>
      </c>
      <c r="E74" s="119" t="s">
        <v>7</v>
      </c>
      <c r="F74" s="119" t="s">
        <v>17</v>
      </c>
      <c r="G74" s="4"/>
      <c r="H74" s="4"/>
      <c r="I74" s="4"/>
      <c r="J74" s="237" t="s">
        <v>151</v>
      </c>
      <c r="K74" s="120" t="s">
        <v>152</v>
      </c>
      <c r="L74" s="80" t="s">
        <v>101</v>
      </c>
    </row>
    <row r="75" spans="1:12" ht="15" customHeight="1" x14ac:dyDescent="0.25">
      <c r="A75" s="238" t="s">
        <v>153</v>
      </c>
      <c r="B75" s="122" t="s">
        <v>154</v>
      </c>
      <c r="C75" s="123"/>
      <c r="D75" s="124" t="s">
        <v>155</v>
      </c>
      <c r="E75" s="124" t="s">
        <v>155</v>
      </c>
      <c r="F75" s="124" t="s">
        <v>156</v>
      </c>
      <c r="G75" s="4"/>
      <c r="H75" s="4"/>
      <c r="I75" s="4"/>
      <c r="J75" s="237"/>
      <c r="K75" s="95"/>
      <c r="L75" s="4"/>
    </row>
    <row r="76" spans="1:12" ht="15" customHeight="1" x14ac:dyDescent="0.25">
      <c r="A76" s="238"/>
      <c r="B76" s="122" t="s">
        <v>157</v>
      </c>
      <c r="C76" s="123"/>
      <c r="D76" s="124" t="s">
        <v>155</v>
      </c>
      <c r="E76" s="124" t="s">
        <v>158</v>
      </c>
      <c r="F76" s="124" t="s">
        <v>159</v>
      </c>
      <c r="G76" s="4"/>
      <c r="H76" s="4"/>
      <c r="I76" s="4"/>
      <c r="J76" s="237"/>
      <c r="K76" s="95"/>
      <c r="L76" s="4"/>
    </row>
    <row r="77" spans="1:12" ht="15" customHeight="1" x14ac:dyDescent="0.25">
      <c r="A77" s="238"/>
      <c r="B77" s="122" t="s">
        <v>160</v>
      </c>
      <c r="C77" s="123"/>
      <c r="D77" s="124" t="s">
        <v>161</v>
      </c>
      <c r="E77" s="124" t="s">
        <v>161</v>
      </c>
      <c r="F77" s="124" t="s">
        <v>161</v>
      </c>
      <c r="G77" s="4"/>
      <c r="H77" s="4"/>
      <c r="I77" s="4"/>
      <c r="J77" s="237"/>
      <c r="K77" s="95"/>
      <c r="L77" s="4"/>
    </row>
    <row r="78" spans="1:12" ht="15" customHeight="1" x14ac:dyDescent="0.25">
      <c r="A78" s="238"/>
      <c r="B78" s="122" t="s">
        <v>162</v>
      </c>
      <c r="C78" s="123"/>
      <c r="D78" s="124" t="s">
        <v>163</v>
      </c>
      <c r="E78" s="124" t="s">
        <v>163</v>
      </c>
      <c r="F78" s="124" t="s">
        <v>163</v>
      </c>
      <c r="G78" s="4"/>
      <c r="H78" s="239" t="s">
        <v>164</v>
      </c>
      <c r="I78" s="4"/>
      <c r="J78" s="237"/>
      <c r="K78" s="95"/>
      <c r="L78" s="4"/>
    </row>
    <row r="79" spans="1:12" ht="15" customHeight="1" x14ac:dyDescent="0.25">
      <c r="A79" s="121" t="s">
        <v>165</v>
      </c>
      <c r="B79" s="122" t="s">
        <v>166</v>
      </c>
      <c r="C79" s="123"/>
      <c r="D79" s="124" t="s">
        <v>72</v>
      </c>
      <c r="E79" s="124" t="s">
        <v>72</v>
      </c>
      <c r="F79" s="124" t="s">
        <v>72</v>
      </c>
      <c r="G79" s="22"/>
      <c r="H79" s="239"/>
      <c r="I79" s="4"/>
      <c r="J79" s="95"/>
      <c r="K79" s="95"/>
      <c r="L79" s="4"/>
    </row>
    <row r="82" spans="1:27" x14ac:dyDescent="0.2">
      <c r="A82" s="125" t="s">
        <v>167</v>
      </c>
    </row>
    <row r="83" spans="1:27" ht="15" customHeight="1" x14ac:dyDescent="0.2">
      <c r="A83" s="126"/>
      <c r="B83" s="4" t="s">
        <v>4</v>
      </c>
      <c r="C83" s="4" t="s">
        <v>7</v>
      </c>
      <c r="D83" s="4" t="s">
        <v>17</v>
      </c>
      <c r="E83" s="4"/>
      <c r="F83" s="4" t="s">
        <v>169</v>
      </c>
      <c r="G83" s="4" t="s">
        <v>170</v>
      </c>
      <c r="H83" s="4" t="s">
        <v>171</v>
      </c>
      <c r="I83" s="4" t="s">
        <v>172</v>
      </c>
      <c r="J83" s="4" t="s">
        <v>173</v>
      </c>
      <c r="K83" s="4" t="s">
        <v>174</v>
      </c>
      <c r="L83" s="4" t="s">
        <v>175</v>
      </c>
      <c r="M83" s="4"/>
      <c r="N83" s="4" t="s">
        <v>176</v>
      </c>
      <c r="O83" s="4" t="s">
        <v>177</v>
      </c>
      <c r="P83" s="4" t="s">
        <v>178</v>
      </c>
      <c r="Q83" s="4" t="s">
        <v>179</v>
      </c>
      <c r="R83" s="4" t="s">
        <v>180</v>
      </c>
      <c r="S83" s="4" t="s">
        <v>181</v>
      </c>
      <c r="T83" s="4" t="s">
        <v>182</v>
      </c>
      <c r="U83" s="4" t="s">
        <v>183</v>
      </c>
      <c r="V83" s="4" t="s">
        <v>184</v>
      </c>
      <c r="W83" s="4" t="s">
        <v>185</v>
      </c>
      <c r="X83" s="4" t="s">
        <v>186</v>
      </c>
      <c r="Y83" s="4"/>
      <c r="Z83" s="4"/>
      <c r="AA83" s="4"/>
    </row>
    <row r="84" spans="1:27" ht="15" customHeight="1" x14ac:dyDescent="0.2">
      <c r="A84" s="127" t="s">
        <v>187</v>
      </c>
      <c r="B84" s="128" t="s">
        <v>188</v>
      </c>
      <c r="C84" s="128" t="s">
        <v>188</v>
      </c>
      <c r="D84" s="128" t="s">
        <v>188</v>
      </c>
      <c r="E84" s="128"/>
      <c r="F84" s="128"/>
      <c r="G84" s="128"/>
      <c r="H84" s="128"/>
      <c r="I84" s="128"/>
      <c r="J84" s="128"/>
      <c r="K84" s="128"/>
      <c r="L84" s="128"/>
      <c r="M84" s="128"/>
      <c r="N84" s="128"/>
      <c r="O84" s="128"/>
      <c r="P84" s="128"/>
      <c r="Q84" s="128"/>
      <c r="R84" s="128"/>
      <c r="S84" s="128"/>
      <c r="T84" s="128"/>
      <c r="U84" s="128"/>
      <c r="V84" s="128"/>
      <c r="W84" s="128"/>
      <c r="X84" s="128"/>
      <c r="Y84" s="128"/>
      <c r="Z84" s="128"/>
      <c r="AA84" s="128"/>
    </row>
    <row r="85" spans="1:27" ht="15" customHeight="1" x14ac:dyDescent="0.2">
      <c r="A85" s="127" t="s">
        <v>189</v>
      </c>
      <c r="B85" s="128" t="s">
        <v>190</v>
      </c>
      <c r="C85" s="128" t="s">
        <v>190</v>
      </c>
      <c r="D85" s="128" t="s">
        <v>188</v>
      </c>
      <c r="E85" s="128"/>
      <c r="F85" s="128"/>
      <c r="G85" s="128"/>
      <c r="H85" s="128"/>
      <c r="I85" s="128"/>
      <c r="J85" s="128"/>
      <c r="K85" s="128"/>
      <c r="L85" s="128"/>
      <c r="M85" s="128"/>
      <c r="N85" s="128"/>
      <c r="O85" s="128"/>
      <c r="P85" s="128"/>
      <c r="Q85" s="128"/>
      <c r="R85" s="128"/>
      <c r="S85" s="128"/>
      <c r="T85" s="128"/>
      <c r="U85" s="128"/>
      <c r="V85" s="128"/>
      <c r="W85" s="128"/>
      <c r="X85" s="128"/>
      <c r="Y85" s="128"/>
      <c r="Z85" s="128"/>
      <c r="AA85" s="128"/>
    </row>
    <row r="86" spans="1:27" ht="15" customHeight="1" x14ac:dyDescent="0.2">
      <c r="A86" s="127" t="s">
        <v>191</v>
      </c>
      <c r="B86" s="128" t="s">
        <v>190</v>
      </c>
      <c r="C86" s="128" t="s">
        <v>192</v>
      </c>
      <c r="D86" s="128" t="s">
        <v>188</v>
      </c>
      <c r="E86" s="128"/>
      <c r="F86" s="128"/>
      <c r="G86" s="128"/>
      <c r="H86" s="128"/>
      <c r="I86" s="128"/>
      <c r="J86" s="128"/>
      <c r="K86" s="128"/>
      <c r="L86" s="128"/>
      <c r="M86" s="128"/>
      <c r="N86" s="128"/>
      <c r="O86" s="128"/>
      <c r="P86" s="128"/>
      <c r="Q86" s="128"/>
      <c r="R86" s="128"/>
      <c r="S86" s="128"/>
      <c r="T86" s="128"/>
      <c r="U86" s="128"/>
      <c r="V86" s="128"/>
      <c r="W86" s="128"/>
      <c r="X86" s="128"/>
      <c r="Y86" s="128"/>
      <c r="Z86" s="128"/>
      <c r="AA86" s="128"/>
    </row>
    <row r="87" spans="1:27" ht="15" customHeight="1" x14ac:dyDescent="0.2">
      <c r="A87" s="127" t="s">
        <v>193</v>
      </c>
      <c r="B87" s="128" t="s">
        <v>188</v>
      </c>
      <c r="C87" s="128" t="s">
        <v>188</v>
      </c>
      <c r="D87" s="128" t="s">
        <v>188</v>
      </c>
      <c r="E87" s="128"/>
      <c r="F87" s="128"/>
      <c r="G87" s="128"/>
      <c r="H87" s="128"/>
      <c r="I87" s="128"/>
      <c r="J87" s="128"/>
      <c r="K87" s="128"/>
      <c r="L87" s="128"/>
      <c r="M87" s="128"/>
      <c r="N87" s="128"/>
      <c r="O87" s="128"/>
      <c r="P87" s="128"/>
      <c r="Q87" s="128"/>
      <c r="R87" s="128"/>
      <c r="S87" s="128"/>
      <c r="T87" s="128"/>
      <c r="U87" s="128"/>
      <c r="V87" s="128"/>
      <c r="W87" s="128"/>
      <c r="X87" s="128"/>
      <c r="Y87" s="128"/>
      <c r="Z87" s="128"/>
      <c r="AA87" s="128"/>
    </row>
    <row r="88" spans="1:27" ht="15" customHeight="1" x14ac:dyDescent="0.2">
      <c r="A88" s="127" t="s">
        <v>194</v>
      </c>
      <c r="B88" s="128" t="s">
        <v>190</v>
      </c>
      <c r="C88" s="128" t="s">
        <v>188</v>
      </c>
      <c r="D88" s="128" t="s">
        <v>190</v>
      </c>
      <c r="E88" s="128"/>
      <c r="F88" s="128"/>
      <c r="G88" s="128"/>
      <c r="H88" s="128"/>
      <c r="I88" s="128"/>
      <c r="J88" s="128"/>
      <c r="K88" s="128"/>
      <c r="L88" s="128"/>
      <c r="M88" s="128"/>
      <c r="N88" s="128"/>
      <c r="O88" s="128"/>
      <c r="P88" s="128"/>
      <c r="Q88" s="128"/>
      <c r="R88" s="128"/>
      <c r="S88" s="128"/>
      <c r="T88" s="128"/>
      <c r="U88" s="128"/>
      <c r="V88" s="128"/>
      <c r="W88" s="128"/>
      <c r="X88" s="128"/>
      <c r="Y88" s="128"/>
      <c r="Z88" s="128"/>
      <c r="AA88" s="128"/>
    </row>
    <row r="89" spans="1:27" ht="15" customHeight="1" x14ac:dyDescent="0.2">
      <c r="A89" s="127" t="s">
        <v>195</v>
      </c>
      <c r="B89" s="128" t="s">
        <v>192</v>
      </c>
      <c r="C89" s="128" t="s">
        <v>190</v>
      </c>
      <c r="D89" s="128" t="s">
        <v>192</v>
      </c>
      <c r="E89" s="128"/>
      <c r="F89" s="128"/>
      <c r="G89" s="128"/>
      <c r="H89" s="128"/>
      <c r="I89" s="128"/>
      <c r="J89" s="128"/>
      <c r="K89" s="128"/>
      <c r="L89" s="128"/>
      <c r="M89" s="128"/>
      <c r="N89" s="128"/>
      <c r="O89" s="128"/>
      <c r="P89" s="128"/>
      <c r="Q89" s="128"/>
      <c r="R89" s="128"/>
      <c r="S89" s="128"/>
      <c r="T89" s="128"/>
      <c r="U89" s="128"/>
      <c r="V89" s="128"/>
      <c r="W89" s="128"/>
      <c r="X89" s="128"/>
      <c r="Y89" s="128"/>
      <c r="Z89" s="128"/>
      <c r="AA89" s="128"/>
    </row>
    <row r="90" spans="1:27" ht="15" customHeight="1" x14ac:dyDescent="0.2">
      <c r="A90" s="127" t="s">
        <v>196</v>
      </c>
      <c r="B90" s="128" t="s">
        <v>188</v>
      </c>
      <c r="C90" s="128" t="s">
        <v>188</v>
      </c>
      <c r="D90" s="128" t="s">
        <v>188</v>
      </c>
      <c r="E90" s="128"/>
      <c r="F90" s="128"/>
      <c r="G90" s="128"/>
      <c r="H90" s="128"/>
      <c r="I90" s="128"/>
      <c r="J90" s="128"/>
      <c r="K90" s="128"/>
      <c r="L90" s="128"/>
      <c r="M90" s="128"/>
      <c r="N90" s="128"/>
      <c r="O90" s="128"/>
      <c r="P90" s="128"/>
      <c r="Q90" s="128"/>
      <c r="R90" s="128"/>
      <c r="S90" s="128"/>
      <c r="T90" s="128"/>
      <c r="U90" s="128"/>
      <c r="V90" s="128"/>
      <c r="W90" s="128"/>
      <c r="X90" s="128"/>
      <c r="Y90" s="128"/>
      <c r="Z90" s="128"/>
      <c r="AA90" s="128"/>
    </row>
    <row r="91" spans="1:27" ht="15" customHeight="1" x14ac:dyDescent="0.2">
      <c r="A91" s="127" t="s">
        <v>197</v>
      </c>
      <c r="B91" s="128" t="s">
        <v>188</v>
      </c>
      <c r="C91" s="128" t="s">
        <v>188</v>
      </c>
      <c r="D91" s="128" t="s">
        <v>188</v>
      </c>
      <c r="E91" s="128"/>
      <c r="F91" s="128"/>
      <c r="G91" s="128"/>
      <c r="H91" s="128"/>
      <c r="I91" s="128"/>
      <c r="J91" s="128"/>
      <c r="K91" s="128"/>
      <c r="L91" s="128"/>
      <c r="M91" s="128"/>
      <c r="N91" s="128"/>
      <c r="O91" s="128"/>
      <c r="P91" s="128"/>
      <c r="Q91" s="128"/>
      <c r="R91" s="128"/>
      <c r="S91" s="128"/>
      <c r="T91" s="128"/>
      <c r="U91" s="128"/>
      <c r="V91" s="128"/>
      <c r="W91" s="128"/>
      <c r="X91" s="128"/>
      <c r="Y91" s="128"/>
      <c r="Z91" s="128"/>
      <c r="AA91" s="128"/>
    </row>
    <row r="92" spans="1:27" ht="15" customHeight="1" x14ac:dyDescent="0.2">
      <c r="A92" s="127" t="s">
        <v>198</v>
      </c>
      <c r="B92" s="128" t="s">
        <v>192</v>
      </c>
      <c r="C92" s="128" t="s">
        <v>89</v>
      </c>
      <c r="D92" s="128" t="s">
        <v>89</v>
      </c>
      <c r="E92" s="128"/>
      <c r="F92" s="128"/>
      <c r="G92" s="128"/>
      <c r="H92" s="128"/>
      <c r="I92" s="128"/>
      <c r="J92" s="128"/>
      <c r="K92" s="128"/>
      <c r="L92" s="128"/>
      <c r="M92" s="128"/>
      <c r="N92" s="128"/>
      <c r="O92" s="128"/>
      <c r="P92" s="128"/>
      <c r="Q92" s="128"/>
      <c r="R92" s="128"/>
      <c r="S92" s="128"/>
      <c r="T92" s="128"/>
      <c r="U92" s="128"/>
      <c r="V92" s="128"/>
      <c r="W92" s="128"/>
      <c r="X92" s="128"/>
      <c r="Y92" s="128"/>
      <c r="Z92" s="128"/>
      <c r="AA92" s="128"/>
    </row>
    <row r="93" spans="1:27" ht="15" customHeight="1" x14ac:dyDescent="0.2">
      <c r="A93" s="127" t="s">
        <v>199</v>
      </c>
      <c r="B93" s="128" t="s">
        <v>200</v>
      </c>
      <c r="C93" s="128" t="s">
        <v>201</v>
      </c>
      <c r="D93" s="128" t="s">
        <v>192</v>
      </c>
      <c r="E93" s="128"/>
      <c r="F93" s="128"/>
      <c r="G93" s="128"/>
      <c r="H93" s="128"/>
      <c r="I93" s="128"/>
      <c r="J93" s="128"/>
      <c r="K93" s="128"/>
      <c r="L93" s="128"/>
      <c r="M93" s="128"/>
      <c r="N93" s="128"/>
      <c r="O93" s="128"/>
      <c r="P93" s="128"/>
      <c r="Q93" s="128"/>
      <c r="R93" s="128"/>
      <c r="S93" s="128"/>
      <c r="T93" s="128"/>
      <c r="U93" s="128"/>
      <c r="V93" s="128"/>
      <c r="W93" s="128"/>
      <c r="X93" s="128"/>
      <c r="Y93" s="128"/>
      <c r="Z93" s="128"/>
      <c r="AA93" s="128"/>
    </row>
    <row r="94" spans="1:27" ht="15" customHeight="1" x14ac:dyDescent="0.2">
      <c r="A94" s="127" t="s">
        <v>202</v>
      </c>
      <c r="B94" s="128" t="s">
        <v>188</v>
      </c>
      <c r="C94" s="128" t="s">
        <v>188</v>
      </c>
      <c r="D94" s="128" t="s">
        <v>190</v>
      </c>
      <c r="E94" s="128"/>
      <c r="F94" s="128"/>
      <c r="G94" s="128"/>
      <c r="H94" s="128"/>
      <c r="I94" s="128"/>
      <c r="J94" s="128"/>
      <c r="K94" s="128"/>
      <c r="L94" s="128"/>
      <c r="M94" s="128"/>
      <c r="N94" s="128"/>
      <c r="O94" s="128"/>
      <c r="P94" s="128"/>
      <c r="Q94" s="128"/>
      <c r="R94" s="128"/>
      <c r="S94" s="128"/>
      <c r="T94" s="128"/>
      <c r="U94" s="128"/>
      <c r="V94" s="128"/>
      <c r="W94" s="128"/>
      <c r="X94" s="128"/>
      <c r="Y94" s="128"/>
      <c r="Z94" s="128"/>
      <c r="AA94" s="128"/>
    </row>
    <row r="95" spans="1:27" ht="15" customHeight="1" x14ac:dyDescent="0.2">
      <c r="A95" s="127" t="s">
        <v>203</v>
      </c>
      <c r="B95" s="128" t="s">
        <v>72</v>
      </c>
      <c r="C95" s="128" t="s">
        <v>72</v>
      </c>
      <c r="D95" s="128" t="s">
        <v>72</v>
      </c>
      <c r="E95" s="128"/>
      <c r="F95" s="128"/>
      <c r="G95" s="128"/>
      <c r="H95" s="128"/>
      <c r="I95" s="128"/>
      <c r="J95" s="128"/>
      <c r="K95" s="128"/>
      <c r="L95" s="128"/>
      <c r="M95" s="128"/>
      <c r="N95" s="128"/>
      <c r="O95" s="128"/>
      <c r="P95" s="128"/>
      <c r="Q95" s="128"/>
      <c r="R95" s="128"/>
      <c r="S95" s="128"/>
      <c r="T95" s="128"/>
      <c r="U95" s="128"/>
      <c r="V95" s="128"/>
      <c r="W95" s="128"/>
      <c r="X95" s="128"/>
      <c r="Y95" s="128"/>
      <c r="Z95" s="128"/>
      <c r="AA95" s="128"/>
    </row>
    <row r="96" spans="1:27" ht="15" customHeight="1" x14ac:dyDescent="0.2">
      <c r="A96" s="127" t="s">
        <v>204</v>
      </c>
      <c r="B96" s="128" t="s">
        <v>188</v>
      </c>
      <c r="C96" s="128" t="s">
        <v>188</v>
      </c>
      <c r="D96" s="128" t="s">
        <v>188</v>
      </c>
      <c r="E96" s="128"/>
      <c r="F96" s="128"/>
      <c r="G96" s="128"/>
      <c r="H96" s="128"/>
      <c r="I96" s="128"/>
      <c r="J96" s="128"/>
      <c r="K96" s="128"/>
      <c r="L96" s="128"/>
      <c r="M96" s="128"/>
      <c r="N96" s="128"/>
      <c r="O96" s="128"/>
      <c r="P96" s="128"/>
      <c r="Q96" s="128"/>
      <c r="R96" s="128"/>
      <c r="S96" s="128"/>
      <c r="T96" s="128"/>
      <c r="U96" s="128"/>
      <c r="V96" s="128"/>
      <c r="W96" s="128"/>
      <c r="X96" s="128"/>
      <c r="Y96" s="128"/>
      <c r="Z96" s="128"/>
      <c r="AA96" s="128"/>
    </row>
    <row r="97" spans="1:27" ht="15" customHeight="1" x14ac:dyDescent="0.2">
      <c r="A97" s="127" t="s">
        <v>205</v>
      </c>
      <c r="B97" s="128" t="s">
        <v>188</v>
      </c>
      <c r="C97" s="128" t="s">
        <v>190</v>
      </c>
      <c r="D97" s="128" t="s">
        <v>188</v>
      </c>
      <c r="E97" s="128"/>
      <c r="F97" s="128"/>
      <c r="G97" s="128"/>
      <c r="H97" s="128"/>
      <c r="I97" s="128"/>
      <c r="J97" s="128"/>
      <c r="K97" s="128"/>
      <c r="L97" s="128"/>
      <c r="M97" s="128"/>
      <c r="N97" s="128"/>
      <c r="O97" s="128"/>
      <c r="P97" s="128"/>
      <c r="Q97" s="128"/>
      <c r="R97" s="128"/>
      <c r="S97" s="128"/>
      <c r="T97" s="128"/>
      <c r="U97" s="128"/>
      <c r="V97" s="128"/>
      <c r="W97" s="128"/>
      <c r="X97" s="128"/>
      <c r="Y97" s="128"/>
      <c r="Z97" s="128"/>
      <c r="AA97" s="128"/>
    </row>
    <row r="98" spans="1:27" ht="15" customHeight="1" x14ac:dyDescent="0.2">
      <c r="A98" s="127" t="s">
        <v>206</v>
      </c>
      <c r="B98" s="128" t="s">
        <v>72</v>
      </c>
      <c r="C98" s="128" t="s">
        <v>192</v>
      </c>
      <c r="D98" s="128" t="s">
        <v>192</v>
      </c>
      <c r="E98" s="128"/>
      <c r="F98" s="128"/>
      <c r="G98" s="128"/>
      <c r="H98" s="128"/>
      <c r="I98" s="128"/>
      <c r="J98" s="128"/>
      <c r="K98" s="128"/>
      <c r="L98" s="128"/>
      <c r="M98" s="128"/>
      <c r="N98" s="128"/>
      <c r="O98" s="128"/>
      <c r="P98" s="128"/>
      <c r="Q98" s="128"/>
      <c r="R98" s="128"/>
      <c r="S98" s="128"/>
      <c r="T98" s="128"/>
      <c r="U98" s="128"/>
      <c r="V98" s="128"/>
      <c r="W98" s="128"/>
      <c r="X98" s="128"/>
      <c r="Y98" s="128"/>
      <c r="Z98" s="128"/>
      <c r="AA98" s="128"/>
    </row>
    <row r="99" spans="1:27" ht="15" customHeight="1" x14ac:dyDescent="0.2">
      <c r="A99" s="127" t="s">
        <v>207</v>
      </c>
      <c r="B99" s="128" t="s">
        <v>72</v>
      </c>
      <c r="C99" s="128" t="s">
        <v>72</v>
      </c>
      <c r="D99" s="128" t="s">
        <v>72</v>
      </c>
      <c r="E99" s="128"/>
      <c r="F99" s="128"/>
      <c r="G99" s="128"/>
      <c r="H99" s="128"/>
      <c r="I99" s="128"/>
      <c r="J99" s="128"/>
      <c r="K99" s="128"/>
      <c r="L99" s="128"/>
      <c r="M99" s="128"/>
      <c r="N99" s="128"/>
      <c r="O99" s="128"/>
      <c r="P99" s="128"/>
      <c r="Q99" s="128"/>
      <c r="R99" s="128"/>
      <c r="S99" s="128"/>
      <c r="T99" s="128"/>
      <c r="U99" s="128"/>
      <c r="V99" s="128"/>
      <c r="W99" s="128"/>
      <c r="X99" s="128"/>
      <c r="Y99" s="128"/>
      <c r="Z99" s="128"/>
      <c r="AA99" s="128"/>
    </row>
    <row r="100" spans="1:27" ht="15" customHeight="1" x14ac:dyDescent="0.2">
      <c r="A100" s="127" t="s">
        <v>208</v>
      </c>
      <c r="B100" s="128" t="s">
        <v>72</v>
      </c>
      <c r="C100" s="128" t="s">
        <v>72</v>
      </c>
      <c r="D100" s="128" t="s">
        <v>72</v>
      </c>
      <c r="E100" s="128"/>
      <c r="F100" s="128"/>
      <c r="G100" s="128"/>
      <c r="H100" s="128"/>
      <c r="I100" s="128"/>
      <c r="J100" s="128"/>
      <c r="K100" s="128"/>
      <c r="L100" s="128"/>
      <c r="M100" s="128"/>
      <c r="N100" s="128"/>
      <c r="O100" s="128"/>
      <c r="P100" s="128"/>
      <c r="Q100" s="128"/>
      <c r="R100" s="128"/>
      <c r="S100" s="128"/>
      <c r="T100" s="128"/>
      <c r="U100" s="128"/>
      <c r="V100" s="128"/>
      <c r="W100" s="128"/>
      <c r="X100" s="128"/>
      <c r="Y100" s="128"/>
      <c r="Z100" s="128"/>
      <c r="AA100" s="128"/>
    </row>
    <row r="102" spans="1:27" x14ac:dyDescent="0.2">
      <c r="D102" s="128" t="s">
        <v>421</v>
      </c>
    </row>
    <row r="103" spans="1:27" ht="31.5" x14ac:dyDescent="0.2">
      <c r="A103" s="129" t="s">
        <v>209</v>
      </c>
      <c r="B103" s="130"/>
      <c r="C103" s="131" t="s">
        <v>4</v>
      </c>
      <c r="D103" s="131" t="s">
        <v>7</v>
      </c>
      <c r="E103" s="131" t="s">
        <v>17</v>
      </c>
      <c r="G103" s="3" t="s">
        <v>210</v>
      </c>
      <c r="H103" s="240" t="s">
        <v>211</v>
      </c>
      <c r="I103" s="132"/>
      <c r="J103" s="133"/>
    </row>
    <row r="104" spans="1:27" x14ac:dyDescent="0.2">
      <c r="A104" s="241" t="s">
        <v>2</v>
      </c>
      <c r="B104" s="242"/>
      <c r="C104" s="131" t="s">
        <v>5</v>
      </c>
      <c r="D104" s="131" t="s">
        <v>10</v>
      </c>
      <c r="E104" s="131" t="s">
        <v>21</v>
      </c>
      <c r="H104" s="240"/>
      <c r="I104" s="134"/>
      <c r="J104" s="134"/>
    </row>
    <row r="105" spans="1:27" x14ac:dyDescent="0.2">
      <c r="A105" s="135" t="s">
        <v>212</v>
      </c>
      <c r="B105" s="135" t="s">
        <v>213</v>
      </c>
      <c r="C105" s="136" t="s">
        <v>214</v>
      </c>
      <c r="D105" s="136" t="s">
        <v>215</v>
      </c>
      <c r="E105" s="136" t="s">
        <v>216</v>
      </c>
      <c r="H105" s="240"/>
      <c r="I105" s="134"/>
      <c r="J105" s="134"/>
    </row>
    <row r="106" spans="1:27" x14ac:dyDescent="0.2">
      <c r="A106" s="225" t="s">
        <v>217</v>
      </c>
      <c r="B106" s="137" t="s">
        <v>218</v>
      </c>
      <c r="C106" s="136" t="s">
        <v>219</v>
      </c>
      <c r="D106" s="136" t="s">
        <v>220</v>
      </c>
      <c r="E106" s="136" t="s">
        <v>221</v>
      </c>
      <c r="H106" s="240"/>
      <c r="I106" s="134"/>
      <c r="J106" s="134"/>
    </row>
    <row r="107" spans="1:27" x14ac:dyDescent="0.2">
      <c r="A107" s="225"/>
      <c r="B107" s="137" t="s">
        <v>222</v>
      </c>
      <c r="C107" s="136" t="s">
        <v>223</v>
      </c>
      <c r="D107" s="136" t="s">
        <v>224</v>
      </c>
      <c r="E107" s="136" t="s">
        <v>225</v>
      </c>
      <c r="H107" s="240"/>
      <c r="I107" s="134"/>
      <c r="J107" s="134"/>
    </row>
    <row r="108" spans="1:27" x14ac:dyDescent="0.2">
      <c r="A108" s="225"/>
      <c r="B108" s="137" t="s">
        <v>226</v>
      </c>
      <c r="C108" s="136" t="s">
        <v>227</v>
      </c>
      <c r="D108" s="136" t="s">
        <v>228</v>
      </c>
      <c r="E108" s="136" t="s">
        <v>229</v>
      </c>
      <c r="H108" s="240"/>
      <c r="I108" s="134"/>
      <c r="J108" s="134"/>
    </row>
    <row r="109" spans="1:27" x14ac:dyDescent="0.2">
      <c r="A109" s="225"/>
      <c r="B109" s="137" t="s">
        <v>230</v>
      </c>
      <c r="C109" s="136" t="s">
        <v>223</v>
      </c>
      <c r="D109" s="136" t="s">
        <v>228</v>
      </c>
      <c r="E109" s="136" t="s">
        <v>231</v>
      </c>
      <c r="H109" s="240"/>
      <c r="I109" s="134"/>
      <c r="J109" s="134"/>
    </row>
    <row r="110" spans="1:27" x14ac:dyDescent="0.2">
      <c r="A110" s="225"/>
      <c r="B110" s="137" t="s">
        <v>232</v>
      </c>
      <c r="C110" s="136" t="s">
        <v>233</v>
      </c>
      <c r="D110" s="136" t="s">
        <v>234</v>
      </c>
      <c r="E110" s="136" t="s">
        <v>235</v>
      </c>
      <c r="H110" s="3"/>
      <c r="I110" s="134"/>
      <c r="J110" s="134"/>
    </row>
    <row r="111" spans="1:27" x14ac:dyDescent="0.2">
      <c r="A111" s="225"/>
      <c r="B111" s="137" t="s">
        <v>236</v>
      </c>
      <c r="C111" s="136" t="s">
        <v>237</v>
      </c>
      <c r="D111" s="136" t="s">
        <v>238</v>
      </c>
      <c r="E111" s="136" t="s">
        <v>239</v>
      </c>
    </row>
    <row r="112" spans="1:27" x14ac:dyDescent="0.2">
      <c r="A112" s="225"/>
      <c r="B112" s="137" t="s">
        <v>240</v>
      </c>
      <c r="C112" s="136" t="s">
        <v>241</v>
      </c>
      <c r="D112" s="136" t="s">
        <v>242</v>
      </c>
      <c r="E112" s="136" t="s">
        <v>243</v>
      </c>
    </row>
    <row r="113" spans="1:10" x14ac:dyDescent="0.2">
      <c r="A113" s="225" t="s">
        <v>244</v>
      </c>
      <c r="B113" s="137" t="s">
        <v>218</v>
      </c>
      <c r="C113" s="136" t="s">
        <v>245</v>
      </c>
      <c r="D113" s="136" t="s">
        <v>246</v>
      </c>
      <c r="E113" s="136" t="s">
        <v>247</v>
      </c>
    </row>
    <row r="114" spans="1:10" x14ac:dyDescent="0.2">
      <c r="A114" s="225"/>
      <c r="B114" s="137" t="s">
        <v>222</v>
      </c>
      <c r="C114" s="136" t="s">
        <v>89</v>
      </c>
      <c r="D114" s="136" t="s">
        <v>248</v>
      </c>
      <c r="E114" s="136" t="s">
        <v>249</v>
      </c>
    </row>
    <row r="115" spans="1:10" x14ac:dyDescent="0.2">
      <c r="A115" s="225"/>
      <c r="B115" s="137" t="s">
        <v>226</v>
      </c>
      <c r="C115" s="136" t="s">
        <v>250</v>
      </c>
      <c r="D115" s="136" t="s">
        <v>89</v>
      </c>
      <c r="E115" s="136" t="s">
        <v>251</v>
      </c>
    </row>
    <row r="116" spans="1:10" x14ac:dyDescent="0.2">
      <c r="A116" s="225"/>
      <c r="B116" s="137" t="s">
        <v>230</v>
      </c>
      <c r="C116" s="136" t="s">
        <v>89</v>
      </c>
      <c r="D116" s="136" t="s">
        <v>89</v>
      </c>
      <c r="E116" s="136" t="s">
        <v>252</v>
      </c>
    </row>
    <row r="117" spans="1:10" x14ac:dyDescent="0.2">
      <c r="A117" s="225"/>
      <c r="B117" s="137" t="s">
        <v>232</v>
      </c>
      <c r="C117" s="136" t="s">
        <v>253</v>
      </c>
      <c r="D117" s="136" t="s">
        <v>89</v>
      </c>
      <c r="E117" s="136" t="s">
        <v>254</v>
      </c>
      <c r="H117" s="132" t="s">
        <v>255</v>
      </c>
      <c r="I117" s="133" t="s">
        <v>256</v>
      </c>
      <c r="J117" s="133"/>
    </row>
    <row r="118" spans="1:10" x14ac:dyDescent="0.2">
      <c r="A118" s="225"/>
      <c r="B118" s="137" t="s">
        <v>240</v>
      </c>
      <c r="C118" s="136" t="s">
        <v>257</v>
      </c>
      <c r="D118" s="136" t="s">
        <v>258</v>
      </c>
      <c r="E118" s="136" t="s">
        <v>259</v>
      </c>
    </row>
    <row r="119" spans="1:10" x14ac:dyDescent="0.2">
      <c r="A119" s="225" t="s">
        <v>260</v>
      </c>
      <c r="B119" s="137" t="s">
        <v>218</v>
      </c>
      <c r="C119" s="136" t="s">
        <v>261</v>
      </c>
      <c r="D119" s="136" t="s">
        <v>262</v>
      </c>
      <c r="E119" s="136" t="s">
        <v>263</v>
      </c>
    </row>
    <row r="120" spans="1:10" x14ac:dyDescent="0.2">
      <c r="A120" s="225"/>
      <c r="B120" s="137" t="s">
        <v>222</v>
      </c>
      <c r="C120" s="136" t="s">
        <v>89</v>
      </c>
      <c r="D120" s="136" t="s">
        <v>264</v>
      </c>
      <c r="E120" s="136" t="s">
        <v>265</v>
      </c>
    </row>
    <row r="121" spans="1:10" x14ac:dyDescent="0.2">
      <c r="A121" s="225"/>
      <c r="B121" s="137" t="s">
        <v>226</v>
      </c>
      <c r="C121" s="136" t="s">
        <v>266</v>
      </c>
      <c r="D121" s="136" t="s">
        <v>89</v>
      </c>
      <c r="E121" s="136" t="s">
        <v>267</v>
      </c>
    </row>
    <row r="122" spans="1:10" x14ac:dyDescent="0.2">
      <c r="A122" s="225"/>
      <c r="B122" s="137" t="s">
        <v>230</v>
      </c>
      <c r="C122" s="136" t="s">
        <v>89</v>
      </c>
      <c r="D122" s="136" t="s">
        <v>89</v>
      </c>
      <c r="E122" s="136" t="s">
        <v>268</v>
      </c>
    </row>
    <row r="123" spans="1:10" ht="15.75" x14ac:dyDescent="0.25">
      <c r="A123" s="225"/>
      <c r="B123" s="137" t="s">
        <v>269</v>
      </c>
      <c r="C123" s="136" t="s">
        <v>270</v>
      </c>
      <c r="D123" s="136" t="s">
        <v>89</v>
      </c>
      <c r="E123" s="136" t="s">
        <v>271</v>
      </c>
      <c r="G123" s="1" t="s">
        <v>272</v>
      </c>
      <c r="J123" s="1"/>
    </row>
    <row r="124" spans="1:10" ht="15.75" x14ac:dyDescent="0.25">
      <c r="A124" s="225"/>
      <c r="B124" s="137" t="s">
        <v>236</v>
      </c>
      <c r="C124" s="136" t="s">
        <v>273</v>
      </c>
      <c r="D124" s="136" t="s">
        <v>274</v>
      </c>
      <c r="E124" s="136" t="s">
        <v>275</v>
      </c>
      <c r="G124" s="1"/>
      <c r="J124" s="1"/>
    </row>
    <row r="125" spans="1:10" ht="15.75" x14ac:dyDescent="0.25">
      <c r="A125" s="225"/>
      <c r="B125" s="137" t="s">
        <v>240</v>
      </c>
      <c r="C125" s="136" t="s">
        <v>276</v>
      </c>
      <c r="D125" s="136" t="s">
        <v>277</v>
      </c>
      <c r="E125" s="136" t="s">
        <v>278</v>
      </c>
      <c r="G125" s="1"/>
      <c r="J125" s="1"/>
    </row>
    <row r="126" spans="1:10" ht="15.75" x14ac:dyDescent="0.25">
      <c r="A126" s="225" t="s">
        <v>279</v>
      </c>
      <c r="B126" s="137" t="s">
        <v>280</v>
      </c>
      <c r="C126" s="136" t="s">
        <v>281</v>
      </c>
      <c r="D126" s="136" t="s">
        <v>282</v>
      </c>
      <c r="E126" s="136" t="s">
        <v>283</v>
      </c>
      <c r="G126" s="1"/>
      <c r="J126" s="1"/>
    </row>
    <row r="127" spans="1:10" ht="15.75" x14ac:dyDescent="0.25">
      <c r="A127" s="225"/>
      <c r="B127" s="137" t="s">
        <v>284</v>
      </c>
      <c r="C127" s="136" t="s">
        <v>285</v>
      </c>
      <c r="D127" s="136" t="s">
        <v>89</v>
      </c>
      <c r="E127" s="136" t="s">
        <v>286</v>
      </c>
      <c r="G127" s="1"/>
      <c r="J127" s="1"/>
    </row>
    <row r="128" spans="1:10" ht="15.75" x14ac:dyDescent="0.25">
      <c r="A128" s="225"/>
      <c r="B128" s="137" t="s">
        <v>232</v>
      </c>
      <c r="C128" s="136" t="s">
        <v>287</v>
      </c>
      <c r="D128" s="136" t="s">
        <v>89</v>
      </c>
      <c r="E128" s="136" t="s">
        <v>288</v>
      </c>
      <c r="G128" s="1"/>
      <c r="J128" s="1"/>
    </row>
    <row r="130" spans="1:19" ht="15.75" x14ac:dyDescent="0.25">
      <c r="A130" s="22" t="s">
        <v>289</v>
      </c>
    </row>
    <row r="131" spans="1:19" ht="31.5" x14ac:dyDescent="0.25">
      <c r="A131" s="138"/>
      <c r="B131" s="138"/>
      <c r="C131" s="82" t="s">
        <v>85</v>
      </c>
      <c r="D131" s="139" t="s">
        <v>86</v>
      </c>
      <c r="E131" s="140" t="s">
        <v>4</v>
      </c>
      <c r="F131" s="140" t="s">
        <v>7</v>
      </c>
      <c r="G131" s="140" t="s">
        <v>17</v>
      </c>
      <c r="H131" s="141"/>
      <c r="I131" s="141"/>
      <c r="J131" s="141"/>
      <c r="K131" s="141"/>
      <c r="L131" s="80" t="s">
        <v>294</v>
      </c>
      <c r="M131" s="80" t="s">
        <v>295</v>
      </c>
      <c r="N131" s="80" t="s">
        <v>296</v>
      </c>
      <c r="O131" s="80" t="s">
        <v>297</v>
      </c>
      <c r="P131" s="80" t="s">
        <v>298</v>
      </c>
      <c r="Q131" s="80" t="s">
        <v>299</v>
      </c>
      <c r="R131" s="80" t="s">
        <v>300</v>
      </c>
      <c r="S131" s="80" t="s">
        <v>301</v>
      </c>
    </row>
    <row r="132" spans="1:19" ht="15.75" x14ac:dyDescent="0.25">
      <c r="A132" s="243" t="s">
        <v>302</v>
      </c>
      <c r="B132" s="244" t="s">
        <v>303</v>
      </c>
      <c r="C132" s="245"/>
      <c r="D132" s="139"/>
      <c r="E132" s="143">
        <v>22673762</v>
      </c>
      <c r="F132" s="143">
        <v>32969518</v>
      </c>
      <c r="G132" s="143">
        <v>218541216</v>
      </c>
      <c r="H132" s="85"/>
      <c r="I132" s="85"/>
      <c r="J132" s="4"/>
      <c r="K132" s="4"/>
      <c r="L132" s="80"/>
    </row>
    <row r="133" spans="1:19" ht="15.75" x14ac:dyDescent="0.25">
      <c r="A133" s="243"/>
      <c r="B133" s="244" t="s">
        <v>304</v>
      </c>
      <c r="C133" s="245"/>
      <c r="D133" s="139"/>
      <c r="E133" s="143">
        <v>22673762</v>
      </c>
      <c r="F133" s="143">
        <v>32969518</v>
      </c>
      <c r="G133" s="143">
        <v>218541216</v>
      </c>
      <c r="H133" s="85"/>
      <c r="I133" s="85"/>
      <c r="J133" s="20"/>
      <c r="K133" s="4"/>
      <c r="L133" s="4"/>
    </row>
    <row r="134" spans="1:19" ht="15.75" x14ac:dyDescent="0.25">
      <c r="A134" s="243"/>
      <c r="B134" s="244" t="s">
        <v>305</v>
      </c>
      <c r="C134" s="245"/>
      <c r="D134" s="139"/>
      <c r="E134" s="143">
        <v>22673762</v>
      </c>
      <c r="F134" s="143">
        <v>32969518</v>
      </c>
      <c r="G134" s="143">
        <v>166917410</v>
      </c>
      <c r="H134" s="85"/>
      <c r="I134" s="85"/>
      <c r="J134" s="20"/>
      <c r="K134" s="4"/>
      <c r="L134" s="4"/>
    </row>
    <row r="135" spans="1:19" ht="15.75" x14ac:dyDescent="0.25">
      <c r="A135" s="243"/>
      <c r="B135" s="244" t="s">
        <v>306</v>
      </c>
      <c r="C135" s="245"/>
      <c r="D135" s="139"/>
      <c r="E135" s="143" t="s">
        <v>89</v>
      </c>
      <c r="F135" s="143" t="s">
        <v>89</v>
      </c>
      <c r="G135" s="143" t="s">
        <v>89</v>
      </c>
      <c r="H135" s="85"/>
      <c r="I135" s="85"/>
      <c r="J135" s="4"/>
      <c r="K135" s="4"/>
      <c r="L135" s="4"/>
    </row>
    <row r="136" spans="1:19" ht="15.75" x14ac:dyDescent="0.25">
      <c r="A136" s="247" t="s">
        <v>307</v>
      </c>
      <c r="B136" s="244" t="s">
        <v>308</v>
      </c>
      <c r="C136" s="245"/>
      <c r="D136" s="139"/>
      <c r="E136" s="143">
        <v>253714</v>
      </c>
      <c r="F136" s="143">
        <v>12299</v>
      </c>
      <c r="G136" s="143">
        <v>1526749</v>
      </c>
      <c r="H136" s="85"/>
      <c r="I136" s="85"/>
      <c r="J136" s="4"/>
      <c r="K136" s="4"/>
      <c r="L136" s="20"/>
    </row>
    <row r="137" spans="1:19" ht="18.75" x14ac:dyDescent="0.25">
      <c r="A137" s="247"/>
      <c r="B137" s="144"/>
      <c r="C137" s="145"/>
      <c r="D137" s="139"/>
      <c r="E137" s="146" t="s">
        <v>87</v>
      </c>
      <c r="F137" s="146" t="s">
        <v>87</v>
      </c>
      <c r="G137" s="146" t="s">
        <v>87</v>
      </c>
      <c r="H137" s="147"/>
      <c r="I137" s="85"/>
      <c r="J137" s="148"/>
      <c r="K137" s="148"/>
      <c r="L137" s="148"/>
    </row>
    <row r="138" spans="1:19" ht="15.75" x14ac:dyDescent="0.25">
      <c r="A138" s="247"/>
      <c r="B138" s="244" t="s">
        <v>309</v>
      </c>
      <c r="C138" s="245"/>
      <c r="D138" s="139"/>
      <c r="E138" s="143">
        <v>10425100</v>
      </c>
      <c r="F138" s="143">
        <v>11101635</v>
      </c>
      <c r="G138" s="143">
        <v>21465429</v>
      </c>
      <c r="H138" s="85"/>
      <c r="I138" s="85"/>
      <c r="J138" s="20"/>
      <c r="K138" s="20"/>
      <c r="L138" s="4"/>
    </row>
    <row r="139" spans="1:19" ht="18.75" x14ac:dyDescent="0.25">
      <c r="A139" s="149"/>
      <c r="B139" s="144"/>
      <c r="C139" s="145"/>
      <c r="D139" s="139"/>
      <c r="E139" s="146" t="s">
        <v>87</v>
      </c>
      <c r="F139" s="146" t="s">
        <v>87</v>
      </c>
      <c r="G139" s="146" t="s">
        <v>87</v>
      </c>
      <c r="H139" s="147"/>
      <c r="I139" s="85"/>
      <c r="J139" s="20"/>
      <c r="K139" s="148"/>
      <c r="L139" s="148"/>
    </row>
    <row r="140" spans="1:19" ht="15.75" x14ac:dyDescent="0.25">
      <c r="A140" s="248" t="s">
        <v>310</v>
      </c>
      <c r="B140" s="244" t="s">
        <v>308</v>
      </c>
      <c r="C140" s="245"/>
      <c r="D140" s="139"/>
      <c r="E140" s="143">
        <v>289715</v>
      </c>
      <c r="F140" s="143" t="s">
        <v>87</v>
      </c>
      <c r="G140" s="143">
        <v>391312</v>
      </c>
      <c r="H140" s="151"/>
      <c r="I140" s="85"/>
      <c r="J140" s="20"/>
      <c r="K140" s="152"/>
      <c r="L140" s="152"/>
    </row>
    <row r="141" spans="1:19" ht="15.75" x14ac:dyDescent="0.25">
      <c r="A141" s="248"/>
      <c r="B141" s="244" t="s">
        <v>309</v>
      </c>
      <c r="C141" s="245"/>
      <c r="D141" s="139"/>
      <c r="E141" s="143">
        <v>711304</v>
      </c>
      <c r="F141" s="143">
        <v>21727</v>
      </c>
      <c r="G141" s="143">
        <v>1584976</v>
      </c>
      <c r="H141" s="85"/>
      <c r="I141" s="85"/>
      <c r="J141" s="20"/>
      <c r="K141" s="22" t="s">
        <v>311</v>
      </c>
      <c r="L141" s="4"/>
    </row>
    <row r="142" spans="1:19" ht="15.75" x14ac:dyDescent="0.25">
      <c r="A142" s="150"/>
      <c r="B142" s="142"/>
      <c r="C142" s="90"/>
      <c r="D142" s="139"/>
      <c r="E142" s="85" t="s">
        <v>87</v>
      </c>
      <c r="F142" s="85" t="s">
        <v>87</v>
      </c>
      <c r="G142" s="85" t="s">
        <v>87</v>
      </c>
      <c r="H142" s="85"/>
      <c r="I142" s="85"/>
      <c r="J142" s="20"/>
      <c r="K142" s="22"/>
      <c r="L142" s="4"/>
    </row>
    <row r="143" spans="1:19" ht="15.75" x14ac:dyDescent="0.25">
      <c r="A143" s="249" t="s">
        <v>312</v>
      </c>
      <c r="B143" s="244" t="s">
        <v>308</v>
      </c>
      <c r="C143" s="245"/>
      <c r="D143" s="139"/>
      <c r="E143" s="143" t="s">
        <v>87</v>
      </c>
      <c r="F143" s="143">
        <v>6110</v>
      </c>
      <c r="G143" s="143" t="s">
        <v>87</v>
      </c>
      <c r="H143" s="85"/>
      <c r="I143" s="85"/>
      <c r="J143" s="20"/>
      <c r="K143" s="22"/>
      <c r="L143" s="4"/>
    </row>
    <row r="144" spans="1:19" ht="15.75" x14ac:dyDescent="0.25">
      <c r="A144" s="249"/>
      <c r="B144" s="244" t="s">
        <v>309</v>
      </c>
      <c r="C144" s="245"/>
      <c r="D144" s="139"/>
      <c r="E144" s="143">
        <v>279155</v>
      </c>
      <c r="F144" s="143">
        <v>1264097</v>
      </c>
      <c r="G144" s="143" t="s">
        <v>87</v>
      </c>
      <c r="H144" s="85"/>
      <c r="I144" s="85"/>
      <c r="J144" s="20"/>
      <c r="K144" s="22"/>
      <c r="L144" s="4"/>
    </row>
    <row r="149" spans="1:52" ht="15.75" x14ac:dyDescent="0.25">
      <c r="A149" s="1" t="s">
        <v>313</v>
      </c>
    </row>
    <row r="150" spans="1:52" ht="31.5" x14ac:dyDescent="0.25">
      <c r="A150" s="153" t="s">
        <v>314</v>
      </c>
      <c r="B150" s="2" t="s">
        <v>4</v>
      </c>
      <c r="C150" s="2" t="s">
        <v>87</v>
      </c>
      <c r="D150" s="2" t="s">
        <v>87</v>
      </c>
      <c r="E150" s="2" t="s">
        <v>87</v>
      </c>
      <c r="F150" s="2" t="s">
        <v>87</v>
      </c>
      <c r="G150" s="2" t="s">
        <v>87</v>
      </c>
      <c r="H150" s="2" t="s">
        <v>87</v>
      </c>
      <c r="I150" s="2" t="s">
        <v>7</v>
      </c>
      <c r="J150" s="2" t="s">
        <v>87</v>
      </c>
      <c r="K150" s="2" t="s">
        <v>87</v>
      </c>
      <c r="L150" s="2" t="s">
        <v>87</v>
      </c>
      <c r="M150" s="2" t="s">
        <v>87</v>
      </c>
      <c r="N150" s="2" t="s">
        <v>87</v>
      </c>
      <c r="O150" s="2" t="s">
        <v>87</v>
      </c>
      <c r="P150" s="2" t="s">
        <v>17</v>
      </c>
      <c r="Q150" s="2" t="s">
        <v>87</v>
      </c>
      <c r="R150" s="2" t="s">
        <v>87</v>
      </c>
      <c r="S150" s="2" t="s">
        <v>87</v>
      </c>
      <c r="T150" s="2" t="s">
        <v>87</v>
      </c>
      <c r="U150" s="2" t="s">
        <v>87</v>
      </c>
      <c r="V150" s="2" t="s">
        <v>87</v>
      </c>
      <c r="Z150" s="154" t="s">
        <v>315</v>
      </c>
      <c r="AA150" s="155" t="s">
        <v>168</v>
      </c>
      <c r="AB150" s="155" t="s">
        <v>290</v>
      </c>
      <c r="AC150" s="155" t="s">
        <v>291</v>
      </c>
      <c r="AD150" s="155" t="s">
        <v>316</v>
      </c>
      <c r="AE150" s="155" t="s">
        <v>292</v>
      </c>
      <c r="AF150" s="155" t="s">
        <v>293</v>
      </c>
      <c r="AG150" s="156" t="s">
        <v>3</v>
      </c>
      <c r="AJ150" s="2" t="s">
        <v>317</v>
      </c>
      <c r="AK150" s="2" t="s">
        <v>318</v>
      </c>
      <c r="AL150" s="2" t="s">
        <v>319</v>
      </c>
      <c r="AM150" s="2" t="s">
        <v>320</v>
      </c>
      <c r="AN150" s="157" t="s">
        <v>321</v>
      </c>
      <c r="AO150" s="2" t="s">
        <v>322</v>
      </c>
      <c r="AP150" s="2" t="s">
        <v>323</v>
      </c>
      <c r="AQ150" s="2" t="s">
        <v>324</v>
      </c>
      <c r="AR150" s="2" t="s">
        <v>325</v>
      </c>
      <c r="AS150" s="2" t="s">
        <v>326</v>
      </c>
      <c r="AT150" s="2" t="s">
        <v>435</v>
      </c>
      <c r="AU150" s="2" t="s">
        <v>327</v>
      </c>
      <c r="AV150" s="2" t="s">
        <v>328</v>
      </c>
      <c r="AW150" s="158" t="s">
        <v>329</v>
      </c>
      <c r="AX150" s="2" t="s">
        <v>330</v>
      </c>
      <c r="AY150" s="2" t="s">
        <v>331</v>
      </c>
      <c r="AZ150" s="2" t="s">
        <v>448</v>
      </c>
    </row>
    <row r="151" spans="1:52" ht="15.75" x14ac:dyDescent="0.25">
      <c r="A151" s="159"/>
      <c r="B151" s="2" t="s">
        <v>332</v>
      </c>
      <c r="C151" s="2" t="s">
        <v>333</v>
      </c>
      <c r="D151" s="2" t="s">
        <v>309</v>
      </c>
      <c r="E151" s="2" t="s">
        <v>334</v>
      </c>
      <c r="F151" s="2" t="s">
        <v>335</v>
      </c>
      <c r="G151" s="2" t="s">
        <v>336</v>
      </c>
      <c r="H151" s="2" t="s">
        <v>337</v>
      </c>
      <c r="I151" s="2" t="s">
        <v>332</v>
      </c>
      <c r="J151" s="2" t="s">
        <v>333</v>
      </c>
      <c r="K151" s="2" t="s">
        <v>309</v>
      </c>
      <c r="L151" s="2" t="s">
        <v>334</v>
      </c>
      <c r="M151" s="2" t="s">
        <v>335</v>
      </c>
      <c r="N151" s="2" t="s">
        <v>336</v>
      </c>
      <c r="O151" s="2" t="s">
        <v>337</v>
      </c>
      <c r="P151" s="2" t="s">
        <v>332</v>
      </c>
      <c r="Q151" s="2" t="s">
        <v>333</v>
      </c>
      <c r="R151" s="2" t="s">
        <v>309</v>
      </c>
      <c r="S151" s="2" t="s">
        <v>334</v>
      </c>
      <c r="T151" s="2" t="s">
        <v>335</v>
      </c>
      <c r="U151" s="2" t="s">
        <v>336</v>
      </c>
      <c r="V151" s="2" t="s">
        <v>337</v>
      </c>
      <c r="Z151" s="160"/>
      <c r="AA151" s="155"/>
      <c r="AB151" s="155"/>
      <c r="AC151" s="155"/>
      <c r="AD151" s="155"/>
      <c r="AE151" s="155"/>
      <c r="AF151" s="155"/>
      <c r="AG151" s="156"/>
    </row>
    <row r="152" spans="1:52" ht="15.75" x14ac:dyDescent="0.25">
      <c r="A152" s="159">
        <v>2010</v>
      </c>
      <c r="B152" s="161">
        <v>6037806</v>
      </c>
      <c r="C152" s="161">
        <v>5723481</v>
      </c>
      <c r="D152" s="161">
        <v>804539</v>
      </c>
      <c r="E152" s="161">
        <v>177879</v>
      </c>
      <c r="F152" s="161">
        <v>88540</v>
      </c>
      <c r="G152" s="161">
        <v>940985</v>
      </c>
      <c r="H152" s="161">
        <v>715999</v>
      </c>
      <c r="I152" s="161">
        <v>6097263</v>
      </c>
      <c r="J152" s="161">
        <v>3381371</v>
      </c>
      <c r="K152" s="161">
        <v>1522577</v>
      </c>
      <c r="L152" s="161">
        <v>1950933</v>
      </c>
      <c r="M152" s="161">
        <v>644568</v>
      </c>
      <c r="N152" s="161">
        <v>2287536</v>
      </c>
      <c r="O152" s="161">
        <v>878009</v>
      </c>
      <c r="P152" s="161" t="s">
        <v>87</v>
      </c>
      <c r="Q152" s="161">
        <v>3873463</v>
      </c>
      <c r="R152" s="161">
        <v>551187</v>
      </c>
      <c r="S152" s="161" t="s">
        <v>87</v>
      </c>
      <c r="T152" s="161">
        <v>523513</v>
      </c>
      <c r="U152" s="161">
        <v>45924</v>
      </c>
      <c r="V152" s="161">
        <v>27674</v>
      </c>
      <c r="W152" s="161"/>
      <c r="Z152" s="162">
        <v>2010</v>
      </c>
      <c r="AA152" s="163">
        <v>104478030</v>
      </c>
      <c r="AB152" s="163">
        <v>677583</v>
      </c>
      <c r="AC152" s="163">
        <v>6369494</v>
      </c>
      <c r="AD152" s="163">
        <v>271</v>
      </c>
      <c r="AE152" s="163">
        <v>3085804</v>
      </c>
      <c r="AF152" s="163">
        <v>1792851</v>
      </c>
      <c r="AG152" s="164">
        <v>116404033</v>
      </c>
    </row>
    <row r="153" spans="1:52" ht="15.75" x14ac:dyDescent="0.25">
      <c r="A153" s="159">
        <v>2011</v>
      </c>
      <c r="B153" s="161">
        <v>5446870</v>
      </c>
      <c r="C153" s="161">
        <v>5024697</v>
      </c>
      <c r="D153" s="161">
        <v>428113</v>
      </c>
      <c r="E153" s="161">
        <v>400005</v>
      </c>
      <c r="F153" s="161">
        <v>83857</v>
      </c>
      <c r="G153" s="161">
        <v>450281</v>
      </c>
      <c r="H153" s="161">
        <v>344256</v>
      </c>
      <c r="I153" s="161">
        <v>7059112</v>
      </c>
      <c r="J153" s="161">
        <v>3344413</v>
      </c>
      <c r="K153" s="161">
        <v>1756874</v>
      </c>
      <c r="L153" s="161">
        <v>2504720</v>
      </c>
      <c r="M153" s="161">
        <v>1093742</v>
      </c>
      <c r="N153" s="161">
        <v>2966853</v>
      </c>
      <c r="O153" s="161">
        <v>663132</v>
      </c>
      <c r="P153" s="161">
        <v>5221656</v>
      </c>
      <c r="Q153" s="161">
        <v>4306945</v>
      </c>
      <c r="R153" s="161" t="s">
        <v>87</v>
      </c>
      <c r="S153" s="161">
        <v>672185</v>
      </c>
      <c r="T153" s="161" t="s">
        <v>87</v>
      </c>
      <c r="U153" s="161">
        <v>242526</v>
      </c>
      <c r="V153" s="161" t="s">
        <v>87</v>
      </c>
      <c r="W153" s="161"/>
      <c r="Z153" s="162">
        <v>2011</v>
      </c>
      <c r="AA153" s="163">
        <v>102278324</v>
      </c>
      <c r="AB153" s="163">
        <v>495221</v>
      </c>
      <c r="AC153" s="163">
        <v>5952130</v>
      </c>
      <c r="AD153" s="163">
        <v>252</v>
      </c>
      <c r="AE153" s="163">
        <v>2504444</v>
      </c>
      <c r="AF153" s="163">
        <v>1429780</v>
      </c>
      <c r="AG153" s="164">
        <v>112660151</v>
      </c>
    </row>
    <row r="154" spans="1:52" ht="15.75" x14ac:dyDescent="0.25">
      <c r="A154" s="159">
        <v>2012</v>
      </c>
      <c r="B154" s="161">
        <v>7852299</v>
      </c>
      <c r="C154" s="161">
        <v>6970700</v>
      </c>
      <c r="D154" s="161">
        <v>3858046</v>
      </c>
      <c r="E154" s="161">
        <v>223372</v>
      </c>
      <c r="F154" s="161">
        <v>90089</v>
      </c>
      <c r="G154" s="161">
        <v>4516273</v>
      </c>
      <c r="H154" s="161">
        <v>3767957</v>
      </c>
      <c r="I154" s="161">
        <v>6265567</v>
      </c>
      <c r="J154" s="161">
        <v>3296332</v>
      </c>
      <c r="K154" s="161">
        <v>1853276</v>
      </c>
      <c r="L154" s="161">
        <v>2546213</v>
      </c>
      <c r="M154" s="161">
        <v>886143</v>
      </c>
      <c r="N154" s="161">
        <v>2276298</v>
      </c>
      <c r="O154" s="161">
        <v>967133</v>
      </c>
      <c r="P154" s="161">
        <v>11789970</v>
      </c>
      <c r="Q154" s="161">
        <v>6938519</v>
      </c>
      <c r="R154" s="161" t="s">
        <v>87</v>
      </c>
      <c r="S154" s="161">
        <v>1953399</v>
      </c>
      <c r="T154" s="161" t="s">
        <v>87</v>
      </c>
      <c r="U154" s="161">
        <v>2898052</v>
      </c>
      <c r="V154" s="161" t="s">
        <v>87</v>
      </c>
      <c r="W154" s="161"/>
      <c r="Z154" s="162">
        <v>2012</v>
      </c>
      <c r="AA154" s="163">
        <v>113761255</v>
      </c>
      <c r="AB154" s="163">
        <v>471841</v>
      </c>
      <c r="AC154" s="163">
        <v>5835463</v>
      </c>
      <c r="AD154" s="163">
        <v>666</v>
      </c>
      <c r="AE154" s="163">
        <v>2144568</v>
      </c>
      <c r="AF154" s="163">
        <v>1122080</v>
      </c>
      <c r="AG154" s="164">
        <v>123335873</v>
      </c>
    </row>
    <row r="155" spans="1:52" ht="15.75" x14ac:dyDescent="0.25">
      <c r="A155" s="159">
        <v>2013</v>
      </c>
      <c r="B155" s="161">
        <v>7857296</v>
      </c>
      <c r="C155" s="161">
        <v>7146026</v>
      </c>
      <c r="D155" s="161">
        <v>3769051</v>
      </c>
      <c r="E155" s="161">
        <v>183971</v>
      </c>
      <c r="F155" s="161">
        <v>82875</v>
      </c>
      <c r="G155" s="161">
        <v>4296350</v>
      </c>
      <c r="H155" s="161">
        <v>3686176</v>
      </c>
      <c r="I155" s="161">
        <v>8565263</v>
      </c>
      <c r="J155" s="161">
        <v>4261529</v>
      </c>
      <c r="K155" s="161">
        <v>3282172</v>
      </c>
      <c r="L155" s="161">
        <v>2058998</v>
      </c>
      <c r="M155" s="161">
        <v>774891</v>
      </c>
      <c r="N155" s="161">
        <v>5526908</v>
      </c>
      <c r="O155" s="161">
        <v>2507281</v>
      </c>
      <c r="P155" s="161">
        <v>21659831</v>
      </c>
      <c r="Q155" s="161">
        <v>12830911</v>
      </c>
      <c r="R155" s="161" t="s">
        <v>87</v>
      </c>
      <c r="S155" s="161">
        <v>1633960</v>
      </c>
      <c r="T155" s="161" t="s">
        <v>87</v>
      </c>
      <c r="U155" s="161">
        <v>7194960</v>
      </c>
      <c r="V155" s="161" t="s">
        <v>87</v>
      </c>
      <c r="W155" s="161"/>
      <c r="Z155" s="162">
        <v>2013</v>
      </c>
      <c r="AA155" s="163">
        <v>125732311</v>
      </c>
      <c r="AB155" s="163">
        <v>468931</v>
      </c>
      <c r="AC155" s="163">
        <v>4946316</v>
      </c>
      <c r="AD155" s="163">
        <v>328</v>
      </c>
      <c r="AE155" s="163">
        <v>1681812</v>
      </c>
      <c r="AF155" s="163">
        <v>1372377</v>
      </c>
      <c r="AG155" s="164">
        <v>134202075</v>
      </c>
    </row>
    <row r="156" spans="1:52" ht="15.75" x14ac:dyDescent="0.25">
      <c r="A156" s="159">
        <v>2014</v>
      </c>
      <c r="B156" s="161">
        <v>9272755</v>
      </c>
      <c r="C156" s="161">
        <v>8278408</v>
      </c>
      <c r="D156" s="161">
        <v>5428655</v>
      </c>
      <c r="E156" s="161">
        <v>198947</v>
      </c>
      <c r="F156" s="161">
        <v>83259</v>
      </c>
      <c r="G156" s="161">
        <v>6224055</v>
      </c>
      <c r="H156" s="161">
        <v>5345396</v>
      </c>
      <c r="I156" s="161">
        <v>12612456</v>
      </c>
      <c r="J156" s="161">
        <v>7452733</v>
      </c>
      <c r="K156" s="161">
        <v>7407175</v>
      </c>
      <c r="L156" s="161">
        <v>2295823</v>
      </c>
      <c r="M156" s="161">
        <v>1009496</v>
      </c>
      <c r="N156" s="161">
        <v>10271075</v>
      </c>
      <c r="O156" s="161">
        <v>6397679</v>
      </c>
      <c r="P156" s="161">
        <v>20558467</v>
      </c>
      <c r="Q156" s="161">
        <v>17257495</v>
      </c>
      <c r="R156" s="161">
        <v>8572322</v>
      </c>
      <c r="S156" s="161">
        <v>1681469</v>
      </c>
      <c r="T156" s="161">
        <v>1233654</v>
      </c>
      <c r="U156" s="161">
        <v>10191825</v>
      </c>
      <c r="V156" s="161">
        <v>7338668</v>
      </c>
      <c r="W156" s="161"/>
      <c r="Z156" s="162">
        <v>2014</v>
      </c>
      <c r="AA156" s="163">
        <v>135095910</v>
      </c>
      <c r="AB156" s="163">
        <v>410975</v>
      </c>
      <c r="AC156" s="163">
        <v>5343572</v>
      </c>
      <c r="AD156" s="163">
        <v>270</v>
      </c>
      <c r="AE156" s="163">
        <v>1696800</v>
      </c>
      <c r="AF156" s="163">
        <v>923262</v>
      </c>
      <c r="AG156" s="164">
        <v>143470789</v>
      </c>
    </row>
    <row r="157" spans="1:52" ht="15.75" x14ac:dyDescent="0.25">
      <c r="A157" s="159">
        <v>2015</v>
      </c>
      <c r="B157" s="161">
        <v>9783385</v>
      </c>
      <c r="C157" s="161">
        <v>8286453</v>
      </c>
      <c r="D157" s="161">
        <v>7015446</v>
      </c>
      <c r="E157" s="161">
        <v>222190</v>
      </c>
      <c r="F157" s="161">
        <v>92589</v>
      </c>
      <c r="G157" s="161">
        <v>8290188</v>
      </c>
      <c r="H157" s="161">
        <v>6922857</v>
      </c>
      <c r="I157" s="161">
        <v>15057398</v>
      </c>
      <c r="J157" s="161">
        <v>8306986</v>
      </c>
      <c r="K157" s="161">
        <v>8222814</v>
      </c>
      <c r="L157" s="161">
        <v>2313129</v>
      </c>
      <c r="M157" s="161">
        <v>735750</v>
      </c>
      <c r="N157" s="161">
        <v>12660097</v>
      </c>
      <c r="O157" s="161">
        <v>7487064</v>
      </c>
      <c r="P157" s="161">
        <v>20243915</v>
      </c>
      <c r="Q157" s="161">
        <v>16702261</v>
      </c>
      <c r="R157" s="161">
        <v>8068583</v>
      </c>
      <c r="S157" s="161">
        <v>839849</v>
      </c>
      <c r="T157" s="161">
        <v>556871</v>
      </c>
      <c r="U157" s="161">
        <v>10770388</v>
      </c>
      <c r="V157" s="161">
        <v>7511712</v>
      </c>
      <c r="W157" s="161"/>
      <c r="Z157" s="162">
        <v>2015</v>
      </c>
      <c r="AA157" s="163">
        <v>142473526</v>
      </c>
      <c r="AB157" s="163">
        <v>479057</v>
      </c>
      <c r="AC157" s="163">
        <v>5420260</v>
      </c>
      <c r="AD157" s="163">
        <v>238</v>
      </c>
      <c r="AE157" s="163">
        <v>1662655</v>
      </c>
      <c r="AF157" s="163">
        <v>813712</v>
      </c>
      <c r="AG157" s="164">
        <v>150849448</v>
      </c>
    </row>
    <row r="158" spans="1:52" ht="15.75" x14ac:dyDescent="0.25">
      <c r="A158" s="159">
        <v>2016</v>
      </c>
      <c r="B158" s="161">
        <v>12006793</v>
      </c>
      <c r="C158" s="161">
        <v>9799818</v>
      </c>
      <c r="D158" s="161">
        <v>9779411</v>
      </c>
      <c r="E158" s="161">
        <v>191208</v>
      </c>
      <c r="F158" s="161">
        <v>80077</v>
      </c>
      <c r="G158" s="161">
        <v>11795178</v>
      </c>
      <c r="H158" s="161">
        <v>9699334</v>
      </c>
      <c r="I158" s="161">
        <v>17490954</v>
      </c>
      <c r="J158" s="161">
        <v>10373341</v>
      </c>
      <c r="K158" s="161">
        <v>9690873</v>
      </c>
      <c r="L158" s="161">
        <v>1886154</v>
      </c>
      <c r="M158" s="161">
        <v>674697</v>
      </c>
      <c r="N158" s="161">
        <v>14922332</v>
      </c>
      <c r="O158" s="161">
        <v>9016176</v>
      </c>
      <c r="P158" s="161">
        <v>29113322</v>
      </c>
      <c r="Q158" s="161">
        <v>23956669</v>
      </c>
      <c r="R158" s="161">
        <v>13598282</v>
      </c>
      <c r="S158" s="161">
        <v>901141</v>
      </c>
      <c r="T158" s="161">
        <v>618363</v>
      </c>
      <c r="U158" s="161">
        <v>17853794</v>
      </c>
      <c r="V158" s="161">
        <v>12979919</v>
      </c>
      <c r="W158" s="161"/>
      <c r="Z158" s="162">
        <v>2016</v>
      </c>
      <c r="AA158" s="163">
        <v>160847397</v>
      </c>
      <c r="AB158" s="163">
        <v>651224</v>
      </c>
      <c r="AC158" s="163">
        <v>3683265</v>
      </c>
      <c r="AD158" s="163">
        <v>226</v>
      </c>
      <c r="AE158" s="163">
        <v>1477428</v>
      </c>
      <c r="AF158" s="163">
        <v>954316</v>
      </c>
      <c r="AG158" s="164">
        <v>167613856</v>
      </c>
    </row>
    <row r="159" spans="1:52" ht="15.75" x14ac:dyDescent="0.25">
      <c r="A159" s="159">
        <v>2017</v>
      </c>
      <c r="B159" s="161">
        <v>14811872</v>
      </c>
      <c r="C159" s="161">
        <v>12255671</v>
      </c>
      <c r="D159" s="161">
        <v>10557260</v>
      </c>
      <c r="E159" s="161">
        <v>133101</v>
      </c>
      <c r="F159" s="161">
        <v>46411</v>
      </c>
      <c r="G159" s="161">
        <v>12980360</v>
      </c>
      <c r="H159" s="161">
        <v>10510849</v>
      </c>
      <c r="I159" s="161">
        <v>17463976</v>
      </c>
      <c r="J159" s="161">
        <v>9981277</v>
      </c>
      <c r="K159" s="161">
        <v>9892601</v>
      </c>
      <c r="L159" s="161">
        <v>1699589</v>
      </c>
      <c r="M159" s="161">
        <v>700282</v>
      </c>
      <c r="N159" s="161">
        <v>15675711</v>
      </c>
      <c r="O159" s="161">
        <v>9192319</v>
      </c>
      <c r="P159" s="161">
        <v>25106551</v>
      </c>
      <c r="Q159" s="161">
        <v>20219268</v>
      </c>
      <c r="R159" s="161">
        <v>13087878</v>
      </c>
      <c r="S159" s="161">
        <v>1055444</v>
      </c>
      <c r="T159" s="161">
        <v>749118</v>
      </c>
      <c r="U159" s="161">
        <v>16919717</v>
      </c>
      <c r="V159" s="161">
        <v>12338760</v>
      </c>
      <c r="W159" s="161"/>
      <c r="Z159" s="162">
        <v>2017</v>
      </c>
      <c r="AA159" s="163">
        <v>164222522</v>
      </c>
      <c r="AB159" s="163">
        <v>932339</v>
      </c>
      <c r="AC159" s="163">
        <v>4464691</v>
      </c>
      <c r="AD159" s="163">
        <v>231</v>
      </c>
      <c r="AE159" s="163">
        <v>1240255</v>
      </c>
      <c r="AF159" s="163">
        <v>1069932</v>
      </c>
      <c r="AG159" s="164">
        <v>171929970</v>
      </c>
    </row>
    <row r="160" spans="1:52" ht="15.75" x14ac:dyDescent="0.25">
      <c r="A160" s="159">
        <v>2018</v>
      </c>
      <c r="B160" s="161">
        <v>14931136</v>
      </c>
      <c r="C160" s="161">
        <v>11991146</v>
      </c>
      <c r="D160" s="161">
        <v>10278970</v>
      </c>
      <c r="E160" s="161">
        <v>157824</v>
      </c>
      <c r="F160" s="161">
        <v>56989</v>
      </c>
      <c r="G160" s="161">
        <v>13061136</v>
      </c>
      <c r="H160" s="161">
        <v>10221981</v>
      </c>
      <c r="I160" s="161">
        <v>18791446</v>
      </c>
      <c r="J160" s="161">
        <v>10339330</v>
      </c>
      <c r="K160" s="161">
        <v>10304472</v>
      </c>
      <c r="L160" s="161">
        <v>1909051</v>
      </c>
      <c r="M160" s="161">
        <v>743435</v>
      </c>
      <c r="N160" s="161">
        <v>16847537</v>
      </c>
      <c r="O160" s="161">
        <v>9561037</v>
      </c>
      <c r="P160" s="161">
        <v>25381459</v>
      </c>
      <c r="Q160" s="161">
        <v>20482380</v>
      </c>
      <c r="R160" s="161">
        <v>14548024</v>
      </c>
      <c r="S160" s="161">
        <v>1428731</v>
      </c>
      <c r="T160" s="161">
        <v>1023273</v>
      </c>
      <c r="U160" s="161">
        <v>18018372</v>
      </c>
      <c r="V160" s="161">
        <v>13524751</v>
      </c>
      <c r="W160" s="161"/>
      <c r="Z160" s="162">
        <v>2018</v>
      </c>
      <c r="AA160" s="163">
        <v>158335476</v>
      </c>
      <c r="AB160" s="163">
        <v>930469</v>
      </c>
      <c r="AC160" s="163">
        <v>5289329</v>
      </c>
      <c r="AD160" s="163">
        <v>255</v>
      </c>
      <c r="AE160" s="163">
        <v>752907</v>
      </c>
      <c r="AF160" s="163">
        <v>1104615</v>
      </c>
      <c r="AG160" s="164">
        <v>166413051</v>
      </c>
    </row>
    <row r="161" spans="1:35" ht="15.75" x14ac:dyDescent="0.25">
      <c r="A161" s="159">
        <v>2019</v>
      </c>
      <c r="B161" s="161">
        <v>18116942</v>
      </c>
      <c r="C161" s="161" t="s">
        <v>338</v>
      </c>
      <c r="D161" s="161" t="s">
        <v>339</v>
      </c>
      <c r="E161" s="161">
        <v>270289</v>
      </c>
      <c r="F161" s="161">
        <v>52582</v>
      </c>
      <c r="G161" s="161">
        <v>15997219</v>
      </c>
      <c r="H161" s="161">
        <v>5824844</v>
      </c>
      <c r="I161" s="161">
        <v>21180727</v>
      </c>
      <c r="J161" s="161">
        <v>11781516</v>
      </c>
      <c r="K161" s="161">
        <v>11734926</v>
      </c>
      <c r="L161" s="161">
        <v>1669097</v>
      </c>
      <c r="M161" s="161">
        <v>608016</v>
      </c>
      <c r="N161" s="161">
        <v>19465040</v>
      </c>
      <c r="O161" s="161">
        <v>11126910</v>
      </c>
      <c r="P161" s="161">
        <v>29489245</v>
      </c>
      <c r="Q161" s="161">
        <v>23376793</v>
      </c>
      <c r="R161" s="161">
        <v>19806915</v>
      </c>
      <c r="S161" s="161">
        <v>3298156</v>
      </c>
      <c r="T161" s="161">
        <v>2476514</v>
      </c>
      <c r="U161" s="161">
        <v>22621211</v>
      </c>
      <c r="V161" s="161">
        <v>17330401</v>
      </c>
      <c r="W161" s="161"/>
      <c r="Z161" s="162">
        <v>2019</v>
      </c>
      <c r="AA161" s="163">
        <v>171017292</v>
      </c>
      <c r="AB161" s="163">
        <v>849021</v>
      </c>
      <c r="AC161" s="163">
        <v>4492250</v>
      </c>
      <c r="AD161" s="163">
        <v>295</v>
      </c>
      <c r="AE161" s="163">
        <v>670884</v>
      </c>
      <c r="AF161" s="163">
        <v>790987</v>
      </c>
      <c r="AG161" s="164">
        <v>177820729</v>
      </c>
    </row>
    <row r="162" spans="1:35" ht="15.75" x14ac:dyDescent="0.25">
      <c r="A162" s="159">
        <v>2020</v>
      </c>
      <c r="B162" s="161">
        <v>15357249</v>
      </c>
      <c r="C162" s="161" t="s">
        <v>340</v>
      </c>
      <c r="D162" s="161" t="s">
        <v>341</v>
      </c>
      <c r="E162" s="161">
        <v>203529</v>
      </c>
      <c r="F162" s="161">
        <v>81017</v>
      </c>
      <c r="G162" s="161">
        <v>13680757</v>
      </c>
      <c r="H162" s="161">
        <v>10519323</v>
      </c>
      <c r="I162" s="161">
        <v>19516184</v>
      </c>
      <c r="J162" s="161">
        <v>11331009</v>
      </c>
      <c r="K162" s="161">
        <v>11318685</v>
      </c>
      <c r="L162" s="161">
        <v>1293955</v>
      </c>
      <c r="M162" s="161">
        <v>473160</v>
      </c>
      <c r="N162" s="161">
        <v>18209905</v>
      </c>
      <c r="O162" s="161">
        <v>10845525</v>
      </c>
      <c r="P162" s="161">
        <v>27370935</v>
      </c>
      <c r="Q162" s="161">
        <v>21580055</v>
      </c>
      <c r="R162" s="161">
        <v>18325240</v>
      </c>
      <c r="S162" s="161">
        <v>3086039</v>
      </c>
      <c r="T162" s="161">
        <v>2312163</v>
      </c>
      <c r="U162" s="161">
        <v>21030081</v>
      </c>
      <c r="V162" s="161">
        <v>16013077</v>
      </c>
      <c r="W162" s="161"/>
      <c r="Z162" s="162">
        <v>2020</v>
      </c>
      <c r="AA162" s="163">
        <v>170758960</v>
      </c>
      <c r="AB162" s="163">
        <v>589452</v>
      </c>
      <c r="AC162" s="163">
        <v>4198608</v>
      </c>
      <c r="AD162" s="163">
        <v>144</v>
      </c>
      <c r="AE162" s="163">
        <v>511840</v>
      </c>
      <c r="AF162" s="163">
        <v>1049905</v>
      </c>
      <c r="AG162" s="164">
        <v>177108909</v>
      </c>
      <c r="AI162" s="2" t="s">
        <v>342</v>
      </c>
    </row>
    <row r="163" spans="1:35" ht="15.75" x14ac:dyDescent="0.25">
      <c r="A163" s="159">
        <v>2021</v>
      </c>
      <c r="B163" s="161">
        <v>17892801</v>
      </c>
      <c r="C163" s="161">
        <v>12465543</v>
      </c>
      <c r="D163" s="161">
        <v>11791638</v>
      </c>
      <c r="E163" s="161">
        <v>339369</v>
      </c>
      <c r="F163" s="161">
        <v>187199</v>
      </c>
      <c r="G163" s="161">
        <v>16879527</v>
      </c>
      <c r="H163" s="161">
        <v>11604439</v>
      </c>
      <c r="I163" s="161">
        <v>19238020</v>
      </c>
      <c r="J163" s="161">
        <v>10106592</v>
      </c>
      <c r="K163" s="161">
        <v>10095807</v>
      </c>
      <c r="L163" s="161">
        <v>833970</v>
      </c>
      <c r="M163" s="161">
        <v>271441</v>
      </c>
      <c r="N163" s="161">
        <v>18393265</v>
      </c>
      <c r="O163" s="161">
        <v>9824366</v>
      </c>
      <c r="P163" s="161">
        <v>30202722</v>
      </c>
      <c r="Q163" s="161">
        <v>23608797</v>
      </c>
      <c r="R163" s="161">
        <v>21325186</v>
      </c>
      <c r="S163" s="161">
        <v>3405012</v>
      </c>
      <c r="T163" s="161">
        <v>2559742</v>
      </c>
      <c r="U163" s="161">
        <v>24514099</v>
      </c>
      <c r="V163" s="161">
        <v>18765444</v>
      </c>
      <c r="W163" s="161"/>
      <c r="Z163" s="162">
        <v>2021</v>
      </c>
      <c r="AA163" s="163">
        <v>177947663</v>
      </c>
      <c r="AB163" s="163">
        <v>524175</v>
      </c>
      <c r="AC163" s="163">
        <v>4805377</v>
      </c>
      <c r="AD163" s="163">
        <v>0</v>
      </c>
      <c r="AE163" s="163">
        <v>558713</v>
      </c>
      <c r="AF163" s="163">
        <v>902732</v>
      </c>
      <c r="AG163" s="164">
        <v>184738660</v>
      </c>
    </row>
    <row r="164" spans="1:35" ht="15.75" x14ac:dyDescent="0.25">
      <c r="A164" s="159">
        <v>2022</v>
      </c>
      <c r="B164" s="161">
        <v>17324387</v>
      </c>
      <c r="C164" s="161">
        <v>11958988</v>
      </c>
      <c r="D164" s="161">
        <v>11415559</v>
      </c>
      <c r="E164" s="161">
        <v>370093</v>
      </c>
      <c r="F164" s="161">
        <v>195754</v>
      </c>
      <c r="G164" s="161">
        <v>16410865</v>
      </c>
      <c r="H164" s="161">
        <v>11219805</v>
      </c>
      <c r="I164" s="161">
        <v>23225280</v>
      </c>
      <c r="J164" s="161">
        <v>12405868</v>
      </c>
      <c r="K164" s="161">
        <v>12387459</v>
      </c>
      <c r="L164" s="161">
        <v>1129094</v>
      </c>
      <c r="M164" s="161">
        <v>371766</v>
      </c>
      <c r="N164" s="161">
        <v>22077777</v>
      </c>
      <c r="O164" s="161">
        <v>12015693</v>
      </c>
      <c r="P164" s="161">
        <v>32983459</v>
      </c>
      <c r="Q164" s="161">
        <v>24968466</v>
      </c>
      <c r="R164" s="161">
        <v>23050405</v>
      </c>
      <c r="S164" s="161">
        <v>3186224</v>
      </c>
      <c r="T164" s="161">
        <v>2377840</v>
      </c>
      <c r="U164" s="161">
        <v>27879174</v>
      </c>
      <c r="V164" s="161">
        <v>20672565</v>
      </c>
      <c r="W164" s="161"/>
      <c r="Z164" s="162">
        <v>2022</v>
      </c>
      <c r="AA164" s="163">
        <v>192370005</v>
      </c>
      <c r="AB164" s="163">
        <v>481792</v>
      </c>
      <c r="AC164" s="163">
        <v>5994681</v>
      </c>
      <c r="AD164" s="163">
        <v>4</v>
      </c>
      <c r="AE164" s="163">
        <v>808683</v>
      </c>
      <c r="AF164" s="163">
        <v>1179527</v>
      </c>
      <c r="AG164" s="164">
        <v>200834692</v>
      </c>
    </row>
    <row r="166" spans="1:35" ht="15.75" x14ac:dyDescent="0.25">
      <c r="A166" s="22" t="s">
        <v>343</v>
      </c>
    </row>
    <row r="167" spans="1:35" ht="31.5" x14ac:dyDescent="0.25">
      <c r="A167" s="165" t="s">
        <v>85</v>
      </c>
      <c r="B167" s="166" t="s">
        <v>4</v>
      </c>
      <c r="C167" s="166" t="s">
        <v>87</v>
      </c>
      <c r="D167" s="166" t="s">
        <v>87</v>
      </c>
      <c r="E167" s="166" t="s">
        <v>87</v>
      </c>
      <c r="F167" s="166" t="s">
        <v>87</v>
      </c>
      <c r="G167" s="166" t="s">
        <v>7</v>
      </c>
      <c r="H167" s="166" t="s">
        <v>87</v>
      </c>
      <c r="I167" s="166" t="s">
        <v>87</v>
      </c>
      <c r="J167" s="166" t="s">
        <v>87</v>
      </c>
      <c r="K167" s="166" t="s">
        <v>87</v>
      </c>
      <c r="L167" s="166" t="s">
        <v>17</v>
      </c>
      <c r="M167" s="166" t="s">
        <v>87</v>
      </c>
      <c r="N167" s="166" t="s">
        <v>87</v>
      </c>
      <c r="O167" s="166" t="s">
        <v>87</v>
      </c>
      <c r="P167" s="166" t="s">
        <v>87</v>
      </c>
      <c r="T167" s="2" t="s">
        <v>344</v>
      </c>
      <c r="U167" s="2" t="s">
        <v>345</v>
      </c>
      <c r="V167" s="2" t="s">
        <v>346</v>
      </c>
      <c r="W167" s="2" t="s">
        <v>347</v>
      </c>
      <c r="X167" s="2" t="s">
        <v>348</v>
      </c>
      <c r="Y167" s="2" t="s">
        <v>349</v>
      </c>
      <c r="Z167" s="2" t="s">
        <v>350</v>
      </c>
      <c r="AA167" s="206" t="s">
        <v>351</v>
      </c>
      <c r="AB167" s="2" t="s">
        <v>352</v>
      </c>
      <c r="AC167" s="2" t="s">
        <v>353</v>
      </c>
      <c r="AD167" s="2" t="s">
        <v>354</v>
      </c>
      <c r="AE167" s="2" t="s">
        <v>327</v>
      </c>
      <c r="AF167" s="2" t="s">
        <v>355</v>
      </c>
    </row>
    <row r="168" spans="1:35" ht="15.75" x14ac:dyDescent="0.25">
      <c r="A168" s="165"/>
      <c r="B168" s="166" t="s">
        <v>356</v>
      </c>
      <c r="C168" s="166" t="s">
        <v>357</v>
      </c>
      <c r="D168" s="166" t="s">
        <v>358</v>
      </c>
      <c r="E168" s="166" t="s">
        <v>359</v>
      </c>
      <c r="F168" s="166" t="s">
        <v>360</v>
      </c>
      <c r="G168" s="166" t="s">
        <v>356</v>
      </c>
      <c r="H168" s="166" t="s">
        <v>357</v>
      </c>
      <c r="I168" s="166" t="s">
        <v>358</v>
      </c>
      <c r="J168" s="166" t="s">
        <v>359</v>
      </c>
      <c r="K168" s="166" t="s">
        <v>360</v>
      </c>
      <c r="L168" s="166" t="s">
        <v>356</v>
      </c>
      <c r="M168" s="166" t="s">
        <v>357</v>
      </c>
      <c r="N168" s="166" t="s">
        <v>358</v>
      </c>
      <c r="O168" s="166" t="s">
        <v>359</v>
      </c>
      <c r="P168" s="166" t="s">
        <v>360</v>
      </c>
      <c r="AA168" s="206"/>
    </row>
    <row r="169" spans="1:35" ht="15.75" x14ac:dyDescent="0.25">
      <c r="A169" s="167">
        <v>2010</v>
      </c>
      <c r="B169" s="168">
        <v>804539</v>
      </c>
      <c r="C169" s="168" t="s">
        <v>87</v>
      </c>
      <c r="D169" s="168" t="s">
        <v>87</v>
      </c>
      <c r="E169" s="168" t="s">
        <v>87</v>
      </c>
      <c r="F169" s="168">
        <v>0</v>
      </c>
      <c r="G169" s="168">
        <v>1522577</v>
      </c>
      <c r="H169" s="168">
        <v>878009</v>
      </c>
      <c r="I169" s="168" t="s">
        <v>87</v>
      </c>
      <c r="J169" s="168" t="s">
        <v>87</v>
      </c>
      <c r="K169" s="168">
        <v>0</v>
      </c>
      <c r="L169" s="168">
        <v>551187</v>
      </c>
      <c r="M169" s="168">
        <v>523513</v>
      </c>
      <c r="N169" s="168" t="s">
        <v>87</v>
      </c>
      <c r="O169" s="168" t="s">
        <v>87</v>
      </c>
      <c r="P169" s="168">
        <v>0</v>
      </c>
      <c r="AA169" s="206"/>
    </row>
    <row r="170" spans="1:35" ht="15.75" x14ac:dyDescent="0.25">
      <c r="A170" s="167">
        <v>2011</v>
      </c>
      <c r="B170" s="168">
        <v>428113</v>
      </c>
      <c r="C170" s="168" t="s">
        <v>87</v>
      </c>
      <c r="D170" s="168" t="s">
        <v>87</v>
      </c>
      <c r="E170" s="168" t="s">
        <v>87</v>
      </c>
      <c r="F170" s="168">
        <v>0</v>
      </c>
      <c r="G170" s="168">
        <v>1756874</v>
      </c>
      <c r="H170" s="168">
        <v>663132</v>
      </c>
      <c r="I170" s="168" t="s">
        <v>87</v>
      </c>
      <c r="J170" s="168" t="s">
        <v>87</v>
      </c>
      <c r="K170" s="168">
        <v>0</v>
      </c>
      <c r="L170" s="168" t="s">
        <v>87</v>
      </c>
      <c r="M170" s="168" t="s">
        <v>87</v>
      </c>
      <c r="N170" s="168" t="s">
        <v>87</v>
      </c>
      <c r="O170" s="168" t="s">
        <v>87</v>
      </c>
      <c r="P170" s="168">
        <v>0</v>
      </c>
      <c r="AA170" s="206"/>
    </row>
    <row r="171" spans="1:35" ht="15.75" x14ac:dyDescent="0.25">
      <c r="A171" s="167">
        <v>2012</v>
      </c>
      <c r="B171" s="168">
        <v>3858046</v>
      </c>
      <c r="C171" s="168" t="s">
        <v>87</v>
      </c>
      <c r="D171" s="168" t="s">
        <v>87</v>
      </c>
      <c r="E171" s="168" t="s">
        <v>87</v>
      </c>
      <c r="F171" s="168">
        <v>0</v>
      </c>
      <c r="G171" s="168">
        <v>1853276</v>
      </c>
      <c r="H171" s="168">
        <v>927841</v>
      </c>
      <c r="I171" s="168" t="s">
        <v>87</v>
      </c>
      <c r="J171" s="168" t="s">
        <v>87</v>
      </c>
      <c r="K171" s="168">
        <v>0</v>
      </c>
      <c r="L171" s="168" t="s">
        <v>87</v>
      </c>
      <c r="M171" s="168" t="s">
        <v>87</v>
      </c>
      <c r="N171" s="168" t="s">
        <v>87</v>
      </c>
      <c r="O171" s="168" t="s">
        <v>87</v>
      </c>
      <c r="P171" s="168">
        <v>0</v>
      </c>
    </row>
    <row r="172" spans="1:35" ht="15.75" x14ac:dyDescent="0.25">
      <c r="A172" s="167">
        <v>2013</v>
      </c>
      <c r="B172" s="168">
        <v>3769051</v>
      </c>
      <c r="C172" s="168" t="s">
        <v>87</v>
      </c>
      <c r="D172" s="168" t="s">
        <v>87</v>
      </c>
      <c r="E172" s="168" t="s">
        <v>87</v>
      </c>
      <c r="F172" s="168">
        <v>0</v>
      </c>
      <c r="G172" s="168">
        <v>3282172</v>
      </c>
      <c r="H172" s="168">
        <v>2998874</v>
      </c>
      <c r="I172" s="168" t="s">
        <v>87</v>
      </c>
      <c r="J172" s="168" t="s">
        <v>87</v>
      </c>
      <c r="K172" s="168">
        <v>0</v>
      </c>
      <c r="L172" s="168" t="s">
        <v>87</v>
      </c>
      <c r="M172" s="168" t="s">
        <v>87</v>
      </c>
      <c r="N172" s="168" t="s">
        <v>87</v>
      </c>
      <c r="O172" s="168" t="s">
        <v>87</v>
      </c>
      <c r="P172" s="168">
        <v>0</v>
      </c>
    </row>
    <row r="173" spans="1:35" ht="15.75" x14ac:dyDescent="0.25">
      <c r="A173" s="167">
        <v>2014</v>
      </c>
      <c r="B173" s="168">
        <v>5428655</v>
      </c>
      <c r="C173" s="168" t="s">
        <v>87</v>
      </c>
      <c r="D173" s="168" t="s">
        <v>87</v>
      </c>
      <c r="E173" s="168" t="s">
        <v>87</v>
      </c>
      <c r="F173" s="168">
        <v>0</v>
      </c>
      <c r="G173" s="168">
        <v>7407175</v>
      </c>
      <c r="H173" s="168">
        <v>7117648</v>
      </c>
      <c r="I173" s="168" t="s">
        <v>87</v>
      </c>
      <c r="J173" s="168" t="s">
        <v>87</v>
      </c>
      <c r="K173" s="168">
        <v>0</v>
      </c>
      <c r="L173" s="168">
        <v>8572322</v>
      </c>
      <c r="M173" s="168" t="s">
        <v>87</v>
      </c>
      <c r="N173" s="168" t="s">
        <v>87</v>
      </c>
      <c r="O173" s="168" t="s">
        <v>87</v>
      </c>
      <c r="P173" s="168">
        <v>0</v>
      </c>
    </row>
    <row r="174" spans="1:35" ht="15.75" x14ac:dyDescent="0.25">
      <c r="A174" s="167">
        <v>2015</v>
      </c>
      <c r="B174" s="168">
        <v>7015446</v>
      </c>
      <c r="C174" s="168" t="s">
        <v>87</v>
      </c>
      <c r="D174" s="168" t="s">
        <v>87</v>
      </c>
      <c r="E174" s="168" t="s">
        <v>87</v>
      </c>
      <c r="F174" s="168">
        <v>0</v>
      </c>
      <c r="G174" s="168">
        <v>8222814</v>
      </c>
      <c r="H174" s="168">
        <v>7718782</v>
      </c>
      <c r="I174" s="168" t="s">
        <v>87</v>
      </c>
      <c r="J174" s="168" t="s">
        <v>87</v>
      </c>
      <c r="K174" s="168">
        <v>0</v>
      </c>
      <c r="L174" s="168">
        <v>8068583</v>
      </c>
      <c r="M174" s="168" t="s">
        <v>87</v>
      </c>
      <c r="N174" s="168" t="s">
        <v>87</v>
      </c>
      <c r="O174" s="168" t="s">
        <v>87</v>
      </c>
      <c r="P174" s="168">
        <v>0</v>
      </c>
    </row>
    <row r="175" spans="1:35" ht="15.75" x14ac:dyDescent="0.25">
      <c r="A175" s="167">
        <v>2016</v>
      </c>
      <c r="B175" s="168">
        <v>9779411</v>
      </c>
      <c r="C175" s="168" t="s">
        <v>87</v>
      </c>
      <c r="D175" s="168" t="s">
        <v>87</v>
      </c>
      <c r="E175" s="168" t="s">
        <v>87</v>
      </c>
      <c r="F175" s="168">
        <v>0</v>
      </c>
      <c r="G175" s="168">
        <v>9690873</v>
      </c>
      <c r="H175" s="168">
        <v>8520376</v>
      </c>
      <c r="I175" s="168" t="s">
        <v>87</v>
      </c>
      <c r="J175" s="168" t="s">
        <v>87</v>
      </c>
      <c r="K175" s="168">
        <v>0</v>
      </c>
      <c r="L175" s="168">
        <v>13598282</v>
      </c>
      <c r="M175" s="168" t="s">
        <v>87</v>
      </c>
      <c r="N175" s="168" t="s">
        <v>87</v>
      </c>
      <c r="O175" s="168" t="s">
        <v>87</v>
      </c>
      <c r="P175" s="168">
        <v>0</v>
      </c>
    </row>
    <row r="176" spans="1:35" ht="15.75" x14ac:dyDescent="0.25">
      <c r="A176" s="169">
        <v>2017</v>
      </c>
      <c r="B176" s="168">
        <v>10557260</v>
      </c>
      <c r="C176" s="168" t="s">
        <v>87</v>
      </c>
      <c r="D176" s="168" t="s">
        <v>87</v>
      </c>
      <c r="E176" s="168" t="s">
        <v>87</v>
      </c>
      <c r="F176" s="168">
        <v>0</v>
      </c>
      <c r="G176" s="168">
        <v>9892601</v>
      </c>
      <c r="H176" s="168">
        <v>8921081</v>
      </c>
      <c r="I176" s="168" t="s">
        <v>87</v>
      </c>
      <c r="J176" s="168" t="s">
        <v>87</v>
      </c>
      <c r="K176" s="168">
        <v>0</v>
      </c>
      <c r="L176" s="168">
        <v>13087878</v>
      </c>
      <c r="M176" s="168">
        <v>1515920</v>
      </c>
      <c r="N176" s="168" t="s">
        <v>87</v>
      </c>
      <c r="O176" s="168" t="s">
        <v>87</v>
      </c>
      <c r="P176" s="168">
        <v>0</v>
      </c>
    </row>
    <row r="177" spans="1:18" ht="15.75" x14ac:dyDescent="0.25">
      <c r="A177" s="169">
        <v>2018</v>
      </c>
      <c r="B177" s="168">
        <v>10278970</v>
      </c>
      <c r="C177" s="168" t="s">
        <v>87</v>
      </c>
      <c r="D177" s="168" t="s">
        <v>87</v>
      </c>
      <c r="E177" s="168" t="s">
        <v>87</v>
      </c>
      <c r="F177" s="168">
        <v>0</v>
      </c>
      <c r="G177" s="168">
        <v>10304472</v>
      </c>
      <c r="H177" s="168">
        <v>9292928</v>
      </c>
      <c r="I177" s="168" t="s">
        <v>87</v>
      </c>
      <c r="J177" s="168" t="s">
        <v>87</v>
      </c>
      <c r="K177" s="168">
        <v>0</v>
      </c>
      <c r="L177" s="168">
        <v>14548024</v>
      </c>
      <c r="M177" s="168">
        <v>13524751</v>
      </c>
      <c r="N177" s="168" t="s">
        <v>87</v>
      </c>
      <c r="O177" s="168" t="s">
        <v>87</v>
      </c>
      <c r="P177" s="168">
        <v>0</v>
      </c>
      <c r="R177" s="2" t="s">
        <v>342</v>
      </c>
    </row>
    <row r="178" spans="1:18" ht="15.75" x14ac:dyDescent="0.25">
      <c r="A178" s="169">
        <v>2019</v>
      </c>
      <c r="B178" s="168">
        <v>5877426</v>
      </c>
      <c r="C178" s="168">
        <v>5877426</v>
      </c>
      <c r="D178" s="168" t="s">
        <v>87</v>
      </c>
      <c r="E178" s="168" t="s">
        <v>87</v>
      </c>
      <c r="F178" s="168">
        <v>0</v>
      </c>
      <c r="G178" s="168">
        <v>11734926</v>
      </c>
      <c r="H178" s="168">
        <v>11734926</v>
      </c>
      <c r="I178" s="168" t="s">
        <v>87</v>
      </c>
      <c r="J178" s="168" t="s">
        <v>87</v>
      </c>
      <c r="K178" s="168">
        <v>0</v>
      </c>
      <c r="L178" s="168">
        <v>19806915</v>
      </c>
      <c r="M178" s="168">
        <v>920398</v>
      </c>
      <c r="N178" s="168" t="s">
        <v>87</v>
      </c>
      <c r="O178" s="168" t="s">
        <v>87</v>
      </c>
      <c r="P178" s="168">
        <v>0</v>
      </c>
    </row>
    <row r="179" spans="1:18" ht="15.75" x14ac:dyDescent="0.25">
      <c r="A179" s="169">
        <v>2020</v>
      </c>
      <c r="B179" s="168">
        <v>10600340</v>
      </c>
      <c r="C179" s="168">
        <v>10248510</v>
      </c>
      <c r="D179" s="168" t="s">
        <v>87</v>
      </c>
      <c r="E179" s="168" t="s">
        <v>87</v>
      </c>
      <c r="F179" s="168" t="s">
        <v>87</v>
      </c>
      <c r="G179" s="168">
        <v>11318685</v>
      </c>
      <c r="H179" s="168">
        <v>11318685</v>
      </c>
      <c r="I179" s="168" t="s">
        <v>87</v>
      </c>
      <c r="J179" s="168" t="s">
        <v>87</v>
      </c>
      <c r="K179" s="168" t="s">
        <v>87</v>
      </c>
      <c r="L179" s="168">
        <v>18325240</v>
      </c>
      <c r="M179" s="168">
        <v>15251460</v>
      </c>
      <c r="N179" s="168" t="s">
        <v>87</v>
      </c>
      <c r="O179" s="168" t="s">
        <v>87</v>
      </c>
      <c r="P179" s="168" t="s">
        <v>87</v>
      </c>
    </row>
    <row r="180" spans="1:18" ht="15.75" x14ac:dyDescent="0.25">
      <c r="A180" s="169">
        <v>2021</v>
      </c>
      <c r="B180" s="168">
        <v>11791638</v>
      </c>
      <c r="C180" s="168">
        <v>11791638</v>
      </c>
      <c r="D180" s="168" t="s">
        <v>87</v>
      </c>
      <c r="E180" s="168" t="s">
        <v>87</v>
      </c>
      <c r="F180" s="168">
        <v>0</v>
      </c>
      <c r="G180" s="168">
        <v>10095807</v>
      </c>
      <c r="H180" s="168">
        <v>10095807</v>
      </c>
      <c r="I180" s="168" t="s">
        <v>87</v>
      </c>
      <c r="J180" s="168" t="s">
        <v>87</v>
      </c>
      <c r="K180" s="168">
        <v>0</v>
      </c>
      <c r="L180" s="168">
        <v>21325186</v>
      </c>
      <c r="M180" s="168">
        <v>18765444</v>
      </c>
      <c r="N180" s="168" t="s">
        <v>87</v>
      </c>
      <c r="O180" s="168" t="s">
        <v>87</v>
      </c>
      <c r="P180" s="168">
        <v>0</v>
      </c>
    </row>
    <row r="181" spans="1:18" ht="15.75" x14ac:dyDescent="0.25">
      <c r="A181" s="169">
        <v>2022</v>
      </c>
      <c r="B181" s="168">
        <v>11415559</v>
      </c>
      <c r="C181" s="168">
        <v>11415559</v>
      </c>
      <c r="D181" s="168" t="s">
        <v>87</v>
      </c>
      <c r="E181" s="168" t="s">
        <v>87</v>
      </c>
      <c r="F181" s="168">
        <v>0</v>
      </c>
      <c r="G181" s="168">
        <v>12387459</v>
      </c>
      <c r="H181" s="168">
        <v>12387459</v>
      </c>
      <c r="I181" s="168" t="s">
        <v>87</v>
      </c>
      <c r="J181" s="168" t="s">
        <v>87</v>
      </c>
      <c r="K181" s="168">
        <v>0</v>
      </c>
      <c r="L181" s="168">
        <v>23050405</v>
      </c>
      <c r="M181" s="168">
        <v>20672564</v>
      </c>
      <c r="N181" s="168" t="s">
        <v>87</v>
      </c>
      <c r="O181" s="168" t="s">
        <v>87</v>
      </c>
      <c r="P181" s="168">
        <v>0</v>
      </c>
    </row>
    <row r="183" spans="1:18" ht="15.75" x14ac:dyDescent="0.25">
      <c r="C183" s="22" t="s">
        <v>361</v>
      </c>
    </row>
    <row r="184" spans="1:18" ht="31.5" x14ac:dyDescent="0.25">
      <c r="A184" s="170" t="s">
        <v>85</v>
      </c>
      <c r="B184" s="171" t="s">
        <v>4</v>
      </c>
      <c r="C184" s="171" t="s">
        <v>7</v>
      </c>
      <c r="D184" s="171" t="s">
        <v>17</v>
      </c>
      <c r="I184" s="2" t="s">
        <v>362</v>
      </c>
      <c r="J184" s="2" t="s">
        <v>327</v>
      </c>
      <c r="K184" s="2" t="s">
        <v>363</v>
      </c>
      <c r="L184" s="2" t="s">
        <v>364</v>
      </c>
      <c r="M184" s="2" t="s">
        <v>449</v>
      </c>
      <c r="N184" s="2" t="s">
        <v>450</v>
      </c>
      <c r="P184" s="2" t="s">
        <v>365</v>
      </c>
      <c r="Q184" s="2" t="s">
        <v>366</v>
      </c>
      <c r="R184" s="246" t="s">
        <v>367</v>
      </c>
    </row>
    <row r="185" spans="1:18" ht="15.75" x14ac:dyDescent="0.25">
      <c r="A185" s="172">
        <v>2010</v>
      </c>
      <c r="B185" s="171">
        <v>9024</v>
      </c>
      <c r="C185" s="171">
        <v>3354</v>
      </c>
      <c r="D185" s="171">
        <v>4238</v>
      </c>
      <c r="R185" s="246"/>
    </row>
    <row r="186" spans="1:18" ht="15.75" x14ac:dyDescent="0.25">
      <c r="A186" s="172">
        <v>2011</v>
      </c>
      <c r="B186" s="171">
        <v>7001</v>
      </c>
      <c r="C186" s="171">
        <v>3086</v>
      </c>
      <c r="D186" s="171">
        <v>3353</v>
      </c>
      <c r="R186" s="246"/>
    </row>
    <row r="187" spans="1:18" ht="15.75" x14ac:dyDescent="0.25">
      <c r="A187" s="172">
        <v>2012</v>
      </c>
      <c r="B187" s="171">
        <v>7963</v>
      </c>
      <c r="C187" s="171">
        <v>2818</v>
      </c>
      <c r="D187" s="171">
        <v>7734</v>
      </c>
      <c r="R187" s="246"/>
    </row>
    <row r="188" spans="1:18" ht="15.75" x14ac:dyDescent="0.25">
      <c r="A188" s="172">
        <v>2013</v>
      </c>
      <c r="B188" s="171">
        <v>6294</v>
      </c>
      <c r="C188" s="171">
        <v>2941</v>
      </c>
      <c r="D188" s="171">
        <v>7878</v>
      </c>
      <c r="R188" s="246"/>
    </row>
    <row r="189" spans="1:18" ht="15.75" x14ac:dyDescent="0.25">
      <c r="A189" s="172">
        <v>2014</v>
      </c>
      <c r="B189" s="171">
        <v>5632</v>
      </c>
      <c r="C189" s="171">
        <v>3245</v>
      </c>
      <c r="D189" s="171">
        <v>6082</v>
      </c>
      <c r="R189" s="246"/>
    </row>
    <row r="190" spans="1:18" ht="15.75" x14ac:dyDescent="0.25">
      <c r="A190" s="172">
        <v>2015</v>
      </c>
      <c r="B190" s="171">
        <v>5379</v>
      </c>
      <c r="C190" s="171">
        <v>2467</v>
      </c>
      <c r="D190" s="171">
        <v>9330</v>
      </c>
      <c r="R190" s="246"/>
    </row>
    <row r="191" spans="1:18" ht="15.75" x14ac:dyDescent="0.25">
      <c r="A191" s="172">
        <v>2016</v>
      </c>
      <c r="B191" s="171">
        <v>3974</v>
      </c>
      <c r="C191" s="171">
        <v>1685</v>
      </c>
      <c r="D191" s="171">
        <v>7397</v>
      </c>
      <c r="R191" s="246"/>
    </row>
    <row r="192" spans="1:18" ht="15.75" x14ac:dyDescent="0.25">
      <c r="A192" s="173">
        <v>2017</v>
      </c>
      <c r="B192" s="171">
        <v>4144</v>
      </c>
      <c r="C192" s="171">
        <v>1114</v>
      </c>
      <c r="D192" s="171">
        <v>8720</v>
      </c>
      <c r="R192" s="246"/>
    </row>
    <row r="193" spans="1:18" ht="15.75" x14ac:dyDescent="0.25">
      <c r="A193" s="173">
        <v>2018</v>
      </c>
      <c r="B193" s="171">
        <v>4294</v>
      </c>
      <c r="C193" s="171">
        <v>968</v>
      </c>
      <c r="D193" s="171">
        <v>14936</v>
      </c>
      <c r="R193" s="246"/>
    </row>
    <row r="194" spans="1:18" ht="15.75" x14ac:dyDescent="0.25">
      <c r="A194" s="173">
        <v>2019</v>
      </c>
      <c r="B194" s="171">
        <v>1060</v>
      </c>
      <c r="C194" s="171">
        <v>734</v>
      </c>
      <c r="D194" s="171">
        <v>26540</v>
      </c>
      <c r="H194" s="174"/>
      <c r="R194" s="246"/>
    </row>
    <row r="195" spans="1:18" ht="15.75" x14ac:dyDescent="0.25">
      <c r="A195" s="173">
        <v>2020</v>
      </c>
      <c r="B195" s="171">
        <v>3983</v>
      </c>
      <c r="C195" s="171">
        <v>563</v>
      </c>
      <c r="D195" s="171">
        <v>1811</v>
      </c>
      <c r="H195" s="1"/>
      <c r="R195" s="246"/>
    </row>
    <row r="196" spans="1:18" ht="15.75" x14ac:dyDescent="0.25">
      <c r="A196" s="173">
        <v>2021</v>
      </c>
      <c r="B196" s="171">
        <v>4355</v>
      </c>
      <c r="C196" s="171">
        <v>408</v>
      </c>
      <c r="D196" s="171">
        <v>7828</v>
      </c>
      <c r="H196" s="175" t="s">
        <v>368</v>
      </c>
      <c r="R196" s="246"/>
    </row>
    <row r="197" spans="1:18" ht="15.75" x14ac:dyDescent="0.25">
      <c r="A197" s="173">
        <v>2022</v>
      </c>
      <c r="B197" s="171">
        <v>4243</v>
      </c>
      <c r="C197" s="171">
        <v>423</v>
      </c>
      <c r="D197" s="171">
        <v>6734</v>
      </c>
    </row>
  </sheetData>
  <mergeCells count="42">
    <mergeCell ref="R184:R196"/>
    <mergeCell ref="A136:A138"/>
    <mergeCell ref="B136:C136"/>
    <mergeCell ref="B138:C138"/>
    <mergeCell ref="A140:A141"/>
    <mergeCell ref="B140:C140"/>
    <mergeCell ref="B141:C141"/>
    <mergeCell ref="A143:A144"/>
    <mergeCell ref="B143:C143"/>
    <mergeCell ref="B144:C144"/>
    <mergeCell ref="AA167:AA170"/>
    <mergeCell ref="A132:A135"/>
    <mergeCell ref="B132:C132"/>
    <mergeCell ref="B133:C133"/>
    <mergeCell ref="B134:C134"/>
    <mergeCell ref="B135:C135"/>
    <mergeCell ref="A119:A125"/>
    <mergeCell ref="A126:A128"/>
    <mergeCell ref="A28:A36"/>
    <mergeCell ref="K46:K48"/>
    <mergeCell ref="A52:B52"/>
    <mergeCell ref="J52:J67"/>
    <mergeCell ref="A68:A71"/>
    <mergeCell ref="J74:J78"/>
    <mergeCell ref="A75:A78"/>
    <mergeCell ref="H78:H79"/>
    <mergeCell ref="A113:A118"/>
    <mergeCell ref="H103:H109"/>
    <mergeCell ref="A104:B104"/>
    <mergeCell ref="A106:A112"/>
    <mergeCell ref="L52:L65"/>
    <mergeCell ref="A53:B53"/>
    <mergeCell ref="A54:A58"/>
    <mergeCell ref="A59:A60"/>
    <mergeCell ref="A62:A63"/>
    <mergeCell ref="A64:A67"/>
    <mergeCell ref="A23:A27"/>
    <mergeCell ref="A3:B3"/>
    <mergeCell ref="N3:N13"/>
    <mergeCell ref="A4:A7"/>
    <mergeCell ref="A8:A13"/>
    <mergeCell ref="A14:A18"/>
  </mergeCells>
  <conditionalFormatting sqref="B39:J48">
    <cfRule type="expression" dxfId="9" priority="9" stopIfTrue="1">
      <formula>#REF!&lt;&gt;""</formula>
    </cfRule>
  </conditionalFormatting>
  <conditionalFormatting sqref="C74">
    <cfRule type="expression" dxfId="8" priority="5" stopIfTrue="1">
      <formula>#REF!&lt;&gt;""</formula>
    </cfRule>
  </conditionalFormatting>
  <conditionalFormatting sqref="D74:F79">
    <cfRule type="expression" dxfId="7" priority="4" stopIfTrue="1">
      <formula>#REF!&lt;&gt;""</formula>
    </cfRule>
  </conditionalFormatting>
  <conditionalFormatting sqref="E131:K131">
    <cfRule type="expression" dxfId="6" priority="10" stopIfTrue="1">
      <formula>$A130&lt;&gt;""</formula>
    </cfRule>
  </conditionalFormatting>
  <conditionalFormatting sqref="H144">
    <cfRule type="expression" dxfId="5" priority="3" stopIfTrue="1">
      <formula>$A145&lt;&gt;""</formula>
    </cfRule>
  </conditionalFormatting>
  <conditionalFormatting sqref="H132:I137 E132:G144 H138:H143 I138:I144">
    <cfRule type="expression" dxfId="4" priority="1" stopIfTrue="1">
      <formula>#REF!&lt;&gt;""</formula>
    </cfRule>
  </conditionalFormatting>
  <conditionalFormatting sqref="K39:M40 L41:M48">
    <cfRule type="expression" dxfId="3" priority="7" stopIfTrue="1">
      <formula>#REF!&lt;&gt;""</formula>
    </cfRule>
  </conditionalFormatting>
  <conditionalFormatting sqref="O39 K41:K46">
    <cfRule type="expression" dxfId="2" priority="8" stopIfTrue="1">
      <formula>#REF!&lt;&gt;""</formula>
    </cfRule>
  </conditionalFormatting>
  <conditionalFormatting sqref="P39:P40">
    <cfRule type="expression" dxfId="1" priority="6" stopIfTrue="1">
      <formula>#REF!&lt;&gt;""</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6C746-4288-4B1B-B1DD-B509B3F9BDB2}">
  <sheetPr codeName="Sheet6"/>
  <dimension ref="A1:I76"/>
  <sheetViews>
    <sheetView workbookViewId="0">
      <selection activeCell="L29" sqref="L29"/>
    </sheetView>
  </sheetViews>
  <sheetFormatPr defaultRowHeight="15" x14ac:dyDescent="0.25"/>
  <cols>
    <col min="3" max="3" width="11.7109375" customWidth="1"/>
  </cols>
  <sheetData>
    <row r="1" spans="1:9" ht="21" x14ac:dyDescent="0.25">
      <c r="A1" s="250" t="s">
        <v>369</v>
      </c>
      <c r="B1" s="250"/>
      <c r="C1" s="250"/>
      <c r="D1" s="250"/>
      <c r="E1" s="250"/>
      <c r="F1" s="250"/>
      <c r="G1" s="250"/>
      <c r="H1" s="250"/>
      <c r="I1" s="250"/>
    </row>
    <row r="2" spans="1:9" ht="15.75" x14ac:dyDescent="0.25">
      <c r="A2" s="8"/>
      <c r="B2" s="6"/>
      <c r="C2" s="6"/>
      <c r="D2" s="6"/>
      <c r="E2" s="10"/>
      <c r="F2" s="6"/>
      <c r="G2" s="10"/>
      <c r="H2" s="11"/>
      <c r="I2" s="6"/>
    </row>
    <row r="3" spans="1:9" ht="15.75" x14ac:dyDescent="0.25">
      <c r="A3" s="8"/>
      <c r="B3" s="6"/>
      <c r="C3" s="6"/>
      <c r="D3" s="6"/>
      <c r="E3" s="10"/>
      <c r="F3" s="6"/>
      <c r="G3" s="10"/>
      <c r="H3" s="11"/>
      <c r="I3" s="6"/>
    </row>
    <row r="4" spans="1:9" ht="15.75" x14ac:dyDescent="0.25">
      <c r="A4" s="8"/>
      <c r="B4" s="7"/>
      <c r="C4" s="7"/>
      <c r="D4" s="6"/>
      <c r="E4" s="10"/>
      <c r="F4" s="6"/>
      <c r="G4" s="10"/>
      <c r="H4" s="11"/>
      <c r="I4" s="6"/>
    </row>
    <row r="5" spans="1:9" ht="15.75" x14ac:dyDescent="0.25">
      <c r="A5" s="9"/>
      <c r="B5" s="14"/>
      <c r="C5" s="14"/>
      <c r="G5" s="15"/>
    </row>
    <row r="6" spans="1:9" x14ac:dyDescent="0.25">
      <c r="A6" s="16"/>
      <c r="B6" s="251" t="s">
        <v>0</v>
      </c>
      <c r="C6" s="251" t="s">
        <v>370</v>
      </c>
      <c r="D6" s="253" t="s">
        <v>371</v>
      </c>
      <c r="E6" s="253"/>
      <c r="F6" s="253"/>
      <c r="G6" s="253" t="s">
        <v>55</v>
      </c>
      <c r="H6" s="253"/>
      <c r="I6" s="253"/>
    </row>
    <row r="7" spans="1:9" ht="48" x14ac:dyDescent="0.25">
      <c r="A7" s="17" t="s">
        <v>85</v>
      </c>
      <c r="B7" s="252"/>
      <c r="C7" s="252"/>
      <c r="D7" s="18" t="s">
        <v>372</v>
      </c>
      <c r="E7" s="18" t="s">
        <v>373</v>
      </c>
      <c r="F7" s="18" t="s">
        <v>374</v>
      </c>
      <c r="G7" s="18" t="s">
        <v>372</v>
      </c>
      <c r="H7" s="18" t="s">
        <v>373</v>
      </c>
      <c r="I7" s="18" t="s">
        <v>374</v>
      </c>
    </row>
    <row r="8" spans="1:9" x14ac:dyDescent="0.25">
      <c r="A8" s="12" t="s">
        <v>4</v>
      </c>
      <c r="B8" s="12">
        <v>2000</v>
      </c>
      <c r="C8" s="13">
        <v>11882888</v>
      </c>
      <c r="D8" s="13">
        <v>5672000</v>
      </c>
      <c r="E8" s="13">
        <v>7121621</v>
      </c>
      <c r="F8" s="13">
        <v>8835000</v>
      </c>
      <c r="G8" s="13">
        <v>42100</v>
      </c>
      <c r="H8" s="13">
        <v>44877</v>
      </c>
      <c r="I8" s="13">
        <v>47900</v>
      </c>
    </row>
    <row r="9" spans="1:9" x14ac:dyDescent="0.25">
      <c r="A9" s="12" t="s">
        <v>87</v>
      </c>
      <c r="B9" s="12">
        <v>2001</v>
      </c>
      <c r="C9" s="13">
        <v>12249764</v>
      </c>
      <c r="D9" s="13">
        <v>5865000</v>
      </c>
      <c r="E9" s="13">
        <v>7346774</v>
      </c>
      <c r="F9" s="13">
        <v>9048000</v>
      </c>
      <c r="G9" s="13">
        <v>43100</v>
      </c>
      <c r="H9" s="13">
        <v>46007</v>
      </c>
      <c r="I9" s="13">
        <v>49100</v>
      </c>
    </row>
    <row r="10" spans="1:9" x14ac:dyDescent="0.25">
      <c r="A10" s="12" t="s">
        <v>87</v>
      </c>
      <c r="B10" s="12">
        <v>2002</v>
      </c>
      <c r="C10" s="13">
        <v>12632269</v>
      </c>
      <c r="D10" s="13">
        <v>6023000</v>
      </c>
      <c r="E10" s="13">
        <v>7513033</v>
      </c>
      <c r="F10" s="13">
        <v>9196000</v>
      </c>
      <c r="G10" s="13">
        <v>42100</v>
      </c>
      <c r="H10" s="13">
        <v>45074</v>
      </c>
      <c r="I10" s="13">
        <v>48300</v>
      </c>
    </row>
    <row r="11" spans="1:9" x14ac:dyDescent="0.25">
      <c r="A11" s="12" t="s">
        <v>87</v>
      </c>
      <c r="B11" s="12">
        <v>2003</v>
      </c>
      <c r="C11" s="13">
        <v>13030591</v>
      </c>
      <c r="D11" s="13">
        <v>6110000</v>
      </c>
      <c r="E11" s="13">
        <v>7615906</v>
      </c>
      <c r="F11" s="13">
        <v>9373000</v>
      </c>
      <c r="G11" s="13">
        <v>39000</v>
      </c>
      <c r="H11" s="13">
        <v>41766</v>
      </c>
      <c r="I11" s="13">
        <v>44800</v>
      </c>
    </row>
    <row r="12" spans="1:9" x14ac:dyDescent="0.25">
      <c r="A12" s="12" t="s">
        <v>87</v>
      </c>
      <c r="B12" s="12">
        <v>2004</v>
      </c>
      <c r="C12" s="13">
        <v>13445977</v>
      </c>
      <c r="D12" s="13">
        <v>6050000</v>
      </c>
      <c r="E12" s="13">
        <v>7546925</v>
      </c>
      <c r="F12" s="13">
        <v>9280000</v>
      </c>
      <c r="G12" s="13">
        <v>35100</v>
      </c>
      <c r="H12" s="13">
        <v>37579</v>
      </c>
      <c r="I12" s="13">
        <v>40400</v>
      </c>
    </row>
    <row r="13" spans="1:9" x14ac:dyDescent="0.25">
      <c r="A13" s="12" t="s">
        <v>87</v>
      </c>
      <c r="B13" s="12">
        <v>2005</v>
      </c>
      <c r="C13" s="13">
        <v>13876127</v>
      </c>
      <c r="D13" s="13">
        <v>5819000</v>
      </c>
      <c r="E13" s="13">
        <v>7363398</v>
      </c>
      <c r="F13" s="13">
        <v>9204000</v>
      </c>
      <c r="G13" s="13">
        <v>31100</v>
      </c>
      <c r="H13" s="13">
        <v>33411</v>
      </c>
      <c r="I13" s="13">
        <v>36000</v>
      </c>
    </row>
    <row r="14" spans="1:9" x14ac:dyDescent="0.25">
      <c r="A14" s="12" t="s">
        <v>87</v>
      </c>
      <c r="B14" s="12">
        <v>2006</v>
      </c>
      <c r="C14" s="13">
        <v>14316242</v>
      </c>
      <c r="D14" s="13">
        <v>5772000</v>
      </c>
      <c r="E14" s="13">
        <v>7347269</v>
      </c>
      <c r="F14" s="13">
        <v>9212000</v>
      </c>
      <c r="G14" s="13">
        <v>30600</v>
      </c>
      <c r="H14" s="13">
        <v>32928</v>
      </c>
      <c r="I14" s="13">
        <v>35600</v>
      </c>
    </row>
    <row r="15" spans="1:9" x14ac:dyDescent="0.25">
      <c r="A15" s="12" t="s">
        <v>87</v>
      </c>
      <c r="B15" s="12">
        <v>2007</v>
      </c>
      <c r="C15" s="13">
        <v>14757074</v>
      </c>
      <c r="D15" s="13">
        <v>6064000</v>
      </c>
      <c r="E15" s="13">
        <v>7693631</v>
      </c>
      <c r="F15" s="13">
        <v>9614000</v>
      </c>
      <c r="G15" s="13">
        <v>31100</v>
      </c>
      <c r="H15" s="13">
        <v>33480</v>
      </c>
      <c r="I15" s="13">
        <v>36300</v>
      </c>
    </row>
    <row r="16" spans="1:9" x14ac:dyDescent="0.25">
      <c r="A16" s="12" t="s">
        <v>87</v>
      </c>
      <c r="B16" s="12">
        <v>2008</v>
      </c>
      <c r="C16" s="13">
        <v>15197915</v>
      </c>
      <c r="D16" s="13">
        <v>6759000</v>
      </c>
      <c r="E16" s="13">
        <v>8386574</v>
      </c>
      <c r="F16" s="13">
        <v>10290000</v>
      </c>
      <c r="G16" s="13">
        <v>33500</v>
      </c>
      <c r="H16" s="13">
        <v>36241</v>
      </c>
      <c r="I16" s="13">
        <v>39400</v>
      </c>
    </row>
    <row r="17" spans="1:9" x14ac:dyDescent="0.25">
      <c r="A17" s="12" t="s">
        <v>87</v>
      </c>
      <c r="B17" s="12">
        <v>2009</v>
      </c>
      <c r="C17" s="13">
        <v>15650022</v>
      </c>
      <c r="D17" s="13">
        <v>7147000</v>
      </c>
      <c r="E17" s="13">
        <v>8932652</v>
      </c>
      <c r="F17" s="13">
        <v>10950000</v>
      </c>
      <c r="G17" s="13">
        <v>35200</v>
      </c>
      <c r="H17" s="13">
        <v>38371</v>
      </c>
      <c r="I17" s="13">
        <v>41900</v>
      </c>
    </row>
    <row r="18" spans="1:9" x14ac:dyDescent="0.25">
      <c r="A18" s="12" t="s">
        <v>87</v>
      </c>
      <c r="B18" s="12">
        <v>2010</v>
      </c>
      <c r="C18" s="13">
        <v>16116845</v>
      </c>
      <c r="D18" s="13">
        <v>7399000</v>
      </c>
      <c r="E18" s="13">
        <v>9194223</v>
      </c>
      <c r="F18" s="13">
        <v>11260000</v>
      </c>
      <c r="G18" s="13">
        <v>34800</v>
      </c>
      <c r="H18" s="13">
        <v>38196</v>
      </c>
      <c r="I18" s="13">
        <v>42000</v>
      </c>
    </row>
    <row r="19" spans="1:9" x14ac:dyDescent="0.25">
      <c r="A19" s="12" t="s">
        <v>87</v>
      </c>
      <c r="B19" s="12">
        <v>2011</v>
      </c>
      <c r="C19" s="13">
        <v>16602651</v>
      </c>
      <c r="D19" s="13">
        <v>7455000</v>
      </c>
      <c r="E19" s="13">
        <v>9242057</v>
      </c>
      <c r="F19" s="13">
        <v>11290000</v>
      </c>
      <c r="G19" s="13">
        <v>32700</v>
      </c>
      <c r="H19" s="13">
        <v>36310</v>
      </c>
      <c r="I19" s="13">
        <v>40300</v>
      </c>
    </row>
    <row r="20" spans="1:9" x14ac:dyDescent="0.25">
      <c r="A20" s="12" t="s">
        <v>87</v>
      </c>
      <c r="B20" s="12">
        <v>2012</v>
      </c>
      <c r="C20" s="13">
        <v>17113732</v>
      </c>
      <c r="D20" s="13">
        <v>7380000</v>
      </c>
      <c r="E20" s="13">
        <v>9159529</v>
      </c>
      <c r="F20" s="13">
        <v>11230000</v>
      </c>
      <c r="G20" s="13">
        <v>28200</v>
      </c>
      <c r="H20" s="13">
        <v>31627</v>
      </c>
      <c r="I20" s="13">
        <v>35500</v>
      </c>
    </row>
    <row r="21" spans="1:9" x14ac:dyDescent="0.25">
      <c r="A21" s="12" t="s">
        <v>87</v>
      </c>
      <c r="B21" s="12">
        <v>2013</v>
      </c>
      <c r="C21" s="13">
        <v>17636408</v>
      </c>
      <c r="D21" s="13">
        <v>6941000</v>
      </c>
      <c r="E21" s="13">
        <v>8620220</v>
      </c>
      <c r="F21" s="13">
        <v>10590000</v>
      </c>
      <c r="G21" s="13">
        <v>23400</v>
      </c>
      <c r="H21" s="13">
        <v>26559</v>
      </c>
      <c r="I21" s="13">
        <v>30300</v>
      </c>
    </row>
    <row r="22" spans="1:9" x14ac:dyDescent="0.25">
      <c r="A22" s="12" t="s">
        <v>87</v>
      </c>
      <c r="B22" s="12">
        <v>2014</v>
      </c>
      <c r="C22" s="13">
        <v>18169842</v>
      </c>
      <c r="D22" s="13">
        <v>6535000</v>
      </c>
      <c r="E22" s="13">
        <v>8132937</v>
      </c>
      <c r="F22" s="13">
        <v>10000000</v>
      </c>
      <c r="G22" s="13">
        <v>21000</v>
      </c>
      <c r="H22" s="13">
        <v>24309</v>
      </c>
      <c r="I22" s="13">
        <v>28300</v>
      </c>
    </row>
    <row r="23" spans="1:9" x14ac:dyDescent="0.25">
      <c r="A23" s="12" t="s">
        <v>87</v>
      </c>
      <c r="B23" s="12">
        <v>2015</v>
      </c>
      <c r="C23" s="13">
        <v>18718020</v>
      </c>
      <c r="D23" s="13">
        <v>6210000</v>
      </c>
      <c r="E23" s="13">
        <v>7848131</v>
      </c>
      <c r="F23" s="13">
        <v>9775000</v>
      </c>
      <c r="G23" s="13">
        <v>18300</v>
      </c>
      <c r="H23" s="13">
        <v>21617</v>
      </c>
      <c r="I23" s="13">
        <v>25700</v>
      </c>
    </row>
    <row r="24" spans="1:9" x14ac:dyDescent="0.25">
      <c r="A24" s="12" t="s">
        <v>87</v>
      </c>
      <c r="B24" s="12">
        <v>2016</v>
      </c>
      <c r="C24" s="13">
        <v>19275498</v>
      </c>
      <c r="D24" s="13">
        <v>5351000</v>
      </c>
      <c r="E24" s="13">
        <v>7215226</v>
      </c>
      <c r="F24" s="13">
        <v>9555000</v>
      </c>
      <c r="G24" s="13">
        <v>15200</v>
      </c>
      <c r="H24" s="13">
        <v>18288</v>
      </c>
      <c r="I24" s="13">
        <v>22200</v>
      </c>
    </row>
    <row r="25" spans="1:9" x14ac:dyDescent="0.25">
      <c r="A25" s="12" t="s">
        <v>87</v>
      </c>
      <c r="B25" s="12">
        <v>2017</v>
      </c>
      <c r="C25" s="13">
        <v>19835858</v>
      </c>
      <c r="D25" s="13">
        <v>4906000</v>
      </c>
      <c r="E25" s="13">
        <v>7093584</v>
      </c>
      <c r="F25" s="13">
        <v>10000000</v>
      </c>
      <c r="G25" s="13">
        <v>14100</v>
      </c>
      <c r="H25" s="13">
        <v>17297</v>
      </c>
      <c r="I25" s="13">
        <v>21600</v>
      </c>
    </row>
    <row r="26" spans="1:9" x14ac:dyDescent="0.25">
      <c r="A26" s="12" t="s">
        <v>87</v>
      </c>
      <c r="B26" s="12">
        <v>2018</v>
      </c>
      <c r="C26" s="13">
        <v>20392724</v>
      </c>
      <c r="D26" s="13">
        <v>4892000</v>
      </c>
      <c r="E26" s="13">
        <v>7280725</v>
      </c>
      <c r="F26" s="13">
        <v>10380000</v>
      </c>
      <c r="G26" s="13">
        <v>13300</v>
      </c>
      <c r="H26" s="13">
        <v>16791</v>
      </c>
      <c r="I26" s="13">
        <v>21600</v>
      </c>
    </row>
    <row r="27" spans="1:9" x14ac:dyDescent="0.25">
      <c r="A27" s="12" t="s">
        <v>87</v>
      </c>
      <c r="B27" s="12">
        <v>2019</v>
      </c>
      <c r="C27" s="13">
        <v>20951640</v>
      </c>
      <c r="D27" s="13">
        <v>5064000</v>
      </c>
      <c r="E27" s="13">
        <v>7472680</v>
      </c>
      <c r="F27" s="13">
        <v>10750000</v>
      </c>
      <c r="G27" s="13">
        <v>12700</v>
      </c>
      <c r="H27" s="13">
        <v>16454</v>
      </c>
      <c r="I27" s="13">
        <v>21800</v>
      </c>
    </row>
    <row r="28" spans="1:9" x14ac:dyDescent="0.25">
      <c r="A28" s="12" t="s">
        <v>87</v>
      </c>
      <c r="B28" s="12">
        <v>2020</v>
      </c>
      <c r="C28" s="13">
        <v>21522626</v>
      </c>
      <c r="D28" s="13">
        <v>5375000</v>
      </c>
      <c r="E28" s="13">
        <v>8122685</v>
      </c>
      <c r="F28" s="13">
        <v>11720000</v>
      </c>
      <c r="G28" s="13">
        <v>13000</v>
      </c>
      <c r="H28" s="13">
        <v>19176</v>
      </c>
      <c r="I28" s="13">
        <v>29100</v>
      </c>
    </row>
    <row r="29" spans="1:9" x14ac:dyDescent="0.25">
      <c r="A29" s="12" t="s">
        <v>87</v>
      </c>
      <c r="B29" s="12">
        <v>2021</v>
      </c>
      <c r="C29" s="13">
        <v>22100684</v>
      </c>
      <c r="D29" s="13">
        <v>5527000</v>
      </c>
      <c r="E29" s="13">
        <v>8326915</v>
      </c>
      <c r="F29" s="13">
        <v>12050000</v>
      </c>
      <c r="G29" s="13">
        <v>12400</v>
      </c>
      <c r="H29" s="13">
        <v>16976</v>
      </c>
      <c r="I29" s="13">
        <v>24000</v>
      </c>
    </row>
    <row r="30" spans="1:9" x14ac:dyDescent="0.25">
      <c r="A30" s="12" t="s">
        <v>87</v>
      </c>
      <c r="B30" s="12">
        <v>2022</v>
      </c>
      <c r="C30" s="13">
        <v>22673762</v>
      </c>
      <c r="D30" s="13">
        <v>5348000</v>
      </c>
      <c r="E30" s="13">
        <v>8019213</v>
      </c>
      <c r="F30" s="13">
        <v>11590000</v>
      </c>
      <c r="G30" s="13">
        <v>11900</v>
      </c>
      <c r="H30" s="13">
        <v>16669</v>
      </c>
      <c r="I30" s="13">
        <v>24300</v>
      </c>
    </row>
    <row r="31" spans="1:9" x14ac:dyDescent="0.25">
      <c r="A31" s="12" t="s">
        <v>7</v>
      </c>
      <c r="B31" s="12">
        <v>2000</v>
      </c>
      <c r="C31" s="13">
        <v>17768504</v>
      </c>
      <c r="D31" s="13">
        <v>6814000</v>
      </c>
      <c r="E31" s="13">
        <v>8491620</v>
      </c>
      <c r="F31" s="13">
        <v>10450000</v>
      </c>
      <c r="G31" s="13">
        <v>39300</v>
      </c>
      <c r="H31" s="13">
        <v>42192</v>
      </c>
      <c r="I31" s="13">
        <v>45300</v>
      </c>
    </row>
    <row r="32" spans="1:9" x14ac:dyDescent="0.25">
      <c r="A32" s="12" t="s">
        <v>87</v>
      </c>
      <c r="B32" s="12">
        <v>2001</v>
      </c>
      <c r="C32" s="13">
        <v>18220716</v>
      </c>
      <c r="D32" s="13">
        <v>7300000</v>
      </c>
      <c r="E32" s="13">
        <v>8963360</v>
      </c>
      <c r="F32" s="13">
        <v>10910000</v>
      </c>
      <c r="G32" s="13">
        <v>39200</v>
      </c>
      <c r="H32" s="13">
        <v>42162</v>
      </c>
      <c r="I32" s="13">
        <v>45500</v>
      </c>
    </row>
    <row r="33" spans="1:9" x14ac:dyDescent="0.25">
      <c r="A33" s="12" t="s">
        <v>87</v>
      </c>
      <c r="B33" s="12">
        <v>2002</v>
      </c>
      <c r="C33" s="13">
        <v>18694946</v>
      </c>
      <c r="D33" s="13">
        <v>7593000</v>
      </c>
      <c r="E33" s="13">
        <v>9260605</v>
      </c>
      <c r="F33" s="13">
        <v>11210000</v>
      </c>
      <c r="G33" s="13">
        <v>37300</v>
      </c>
      <c r="H33" s="13">
        <v>40239</v>
      </c>
      <c r="I33" s="13">
        <v>43400</v>
      </c>
    </row>
    <row r="34" spans="1:9" x14ac:dyDescent="0.25">
      <c r="A34" s="12" t="s">
        <v>87</v>
      </c>
      <c r="B34" s="12">
        <v>2003</v>
      </c>
      <c r="C34" s="13">
        <v>19186754</v>
      </c>
      <c r="D34" s="13">
        <v>7573000</v>
      </c>
      <c r="E34" s="13">
        <v>9233696</v>
      </c>
      <c r="F34" s="13">
        <v>11090000</v>
      </c>
      <c r="G34" s="13">
        <v>34000</v>
      </c>
      <c r="H34" s="13">
        <v>36703</v>
      </c>
      <c r="I34" s="13">
        <v>39600</v>
      </c>
    </row>
    <row r="35" spans="1:9" x14ac:dyDescent="0.25">
      <c r="A35" s="12" t="s">
        <v>87</v>
      </c>
      <c r="B35" s="12">
        <v>2004</v>
      </c>
      <c r="C35" s="13">
        <v>19694412</v>
      </c>
      <c r="D35" s="13">
        <v>7278000</v>
      </c>
      <c r="E35" s="13">
        <v>8944746</v>
      </c>
      <c r="F35" s="13">
        <v>10910000</v>
      </c>
      <c r="G35" s="13">
        <v>30100</v>
      </c>
      <c r="H35" s="13">
        <v>32517</v>
      </c>
      <c r="I35" s="13">
        <v>35100</v>
      </c>
    </row>
    <row r="36" spans="1:9" x14ac:dyDescent="0.25">
      <c r="A36" s="12" t="s">
        <v>87</v>
      </c>
      <c r="B36" s="12">
        <v>2005</v>
      </c>
      <c r="C36" s="13">
        <v>20211114</v>
      </c>
      <c r="D36" s="13">
        <v>6947000</v>
      </c>
      <c r="E36" s="13">
        <v>8604836</v>
      </c>
      <c r="F36" s="13">
        <v>10570000</v>
      </c>
      <c r="G36" s="13">
        <v>26300</v>
      </c>
      <c r="H36" s="13">
        <v>28467</v>
      </c>
      <c r="I36" s="13">
        <v>30800</v>
      </c>
    </row>
    <row r="37" spans="1:9" x14ac:dyDescent="0.25">
      <c r="A37" s="12" t="s">
        <v>87</v>
      </c>
      <c r="B37" s="12">
        <v>2006</v>
      </c>
      <c r="C37" s="13">
        <v>20735982</v>
      </c>
      <c r="D37" s="13">
        <v>6866000</v>
      </c>
      <c r="E37" s="13">
        <v>8466830</v>
      </c>
      <c r="F37" s="13">
        <v>10320000</v>
      </c>
      <c r="G37" s="13">
        <v>25100</v>
      </c>
      <c r="H37" s="13">
        <v>27162</v>
      </c>
      <c r="I37" s="13">
        <v>29300</v>
      </c>
    </row>
    <row r="38" spans="1:9" x14ac:dyDescent="0.25">
      <c r="A38" s="12" t="s">
        <v>87</v>
      </c>
      <c r="B38" s="12">
        <v>2007</v>
      </c>
      <c r="C38" s="13">
        <v>21280512</v>
      </c>
      <c r="D38" s="13">
        <v>6724000</v>
      </c>
      <c r="E38" s="13">
        <v>8240646</v>
      </c>
      <c r="F38" s="13">
        <v>9940000</v>
      </c>
      <c r="G38" s="13">
        <v>23000</v>
      </c>
      <c r="H38" s="13">
        <v>24864</v>
      </c>
      <c r="I38" s="13">
        <v>26800</v>
      </c>
    </row>
    <row r="39" spans="1:9" x14ac:dyDescent="0.25">
      <c r="A39" s="12" t="s">
        <v>87</v>
      </c>
      <c r="B39" s="12">
        <v>2008</v>
      </c>
      <c r="C39" s="13">
        <v>21845572</v>
      </c>
      <c r="D39" s="13">
        <v>6687000</v>
      </c>
      <c r="E39" s="13">
        <v>8173405</v>
      </c>
      <c r="F39" s="13">
        <v>9918000</v>
      </c>
      <c r="G39" s="13">
        <v>21700</v>
      </c>
      <c r="H39" s="13">
        <v>23408</v>
      </c>
      <c r="I39" s="13">
        <v>25300</v>
      </c>
    </row>
    <row r="40" spans="1:9" x14ac:dyDescent="0.25">
      <c r="A40" s="12" t="s">
        <v>87</v>
      </c>
      <c r="B40" s="12">
        <v>2009</v>
      </c>
      <c r="C40" s="13">
        <v>22436660</v>
      </c>
      <c r="D40" s="13">
        <v>6773000</v>
      </c>
      <c r="E40" s="13">
        <v>8319939</v>
      </c>
      <c r="F40" s="13">
        <v>10110000</v>
      </c>
      <c r="G40" s="13">
        <v>21900</v>
      </c>
      <c r="H40" s="13">
        <v>23681</v>
      </c>
      <c r="I40" s="13">
        <v>25700</v>
      </c>
    </row>
    <row r="41" spans="1:9" x14ac:dyDescent="0.25">
      <c r="A41" s="12" t="s">
        <v>87</v>
      </c>
      <c r="B41" s="12">
        <v>2010</v>
      </c>
      <c r="C41" s="13">
        <v>23073724</v>
      </c>
      <c r="D41" s="13">
        <v>6996000</v>
      </c>
      <c r="E41" s="13">
        <v>8621319</v>
      </c>
      <c r="F41" s="13">
        <v>10480000</v>
      </c>
      <c r="G41" s="13">
        <v>21900</v>
      </c>
      <c r="H41" s="13">
        <v>23929</v>
      </c>
      <c r="I41" s="13">
        <v>26100</v>
      </c>
    </row>
    <row r="42" spans="1:9" x14ac:dyDescent="0.25">
      <c r="A42" s="12" t="s">
        <v>87</v>
      </c>
      <c r="B42" s="12">
        <v>2011</v>
      </c>
      <c r="C42" s="13">
        <v>23760420</v>
      </c>
      <c r="D42" s="13">
        <v>7162000</v>
      </c>
      <c r="E42" s="13">
        <v>8807492</v>
      </c>
      <c r="F42" s="13">
        <v>10670000</v>
      </c>
      <c r="G42" s="13">
        <v>21300</v>
      </c>
      <c r="H42" s="13">
        <v>23588</v>
      </c>
      <c r="I42" s="13">
        <v>26000</v>
      </c>
    </row>
    <row r="43" spans="1:9" x14ac:dyDescent="0.25">
      <c r="A43" s="12" t="s">
        <v>87</v>
      </c>
      <c r="B43" s="12">
        <v>2012</v>
      </c>
      <c r="C43" s="13">
        <v>24487612</v>
      </c>
      <c r="D43" s="13">
        <v>7446000</v>
      </c>
      <c r="E43" s="13">
        <v>9070323</v>
      </c>
      <c r="F43" s="13">
        <v>10980000</v>
      </c>
      <c r="G43" s="13">
        <v>20800</v>
      </c>
      <c r="H43" s="13">
        <v>23481</v>
      </c>
      <c r="I43" s="13">
        <v>26600</v>
      </c>
    </row>
    <row r="44" spans="1:9" x14ac:dyDescent="0.25">
      <c r="A44" s="12" t="s">
        <v>87</v>
      </c>
      <c r="B44" s="12">
        <v>2013</v>
      </c>
      <c r="C44" s="13">
        <v>25251732</v>
      </c>
      <c r="D44" s="13">
        <v>7579000</v>
      </c>
      <c r="E44" s="13">
        <v>9316822</v>
      </c>
      <c r="F44" s="13">
        <v>11340000</v>
      </c>
      <c r="G44" s="13">
        <v>20800</v>
      </c>
      <c r="H44" s="13">
        <v>24005</v>
      </c>
      <c r="I44" s="13">
        <v>28000</v>
      </c>
    </row>
    <row r="45" spans="1:9" x14ac:dyDescent="0.25">
      <c r="A45" s="12" t="s">
        <v>87</v>
      </c>
      <c r="B45" s="12">
        <v>2014</v>
      </c>
      <c r="C45" s="13">
        <v>26038704</v>
      </c>
      <c r="D45" s="13">
        <v>7605000</v>
      </c>
      <c r="E45" s="13">
        <v>9322960</v>
      </c>
      <c r="F45" s="13">
        <v>11310000</v>
      </c>
      <c r="G45" s="13">
        <v>19900</v>
      </c>
      <c r="H45" s="13">
        <v>23473</v>
      </c>
      <c r="I45" s="13">
        <v>28200</v>
      </c>
    </row>
    <row r="46" spans="1:9" x14ac:dyDescent="0.25">
      <c r="A46" s="12" t="s">
        <v>87</v>
      </c>
      <c r="B46" s="12">
        <v>2015</v>
      </c>
      <c r="C46" s="13">
        <v>26843246</v>
      </c>
      <c r="D46" s="13">
        <v>7665000</v>
      </c>
      <c r="E46" s="13">
        <v>9389988</v>
      </c>
      <c r="F46" s="13">
        <v>11430000</v>
      </c>
      <c r="G46" s="13">
        <v>18300</v>
      </c>
      <c r="H46" s="13">
        <v>22210</v>
      </c>
      <c r="I46" s="13">
        <v>27500</v>
      </c>
    </row>
    <row r="47" spans="1:9" x14ac:dyDescent="0.25">
      <c r="A47" s="12" t="s">
        <v>87</v>
      </c>
      <c r="B47" s="12">
        <v>2016</v>
      </c>
      <c r="C47" s="13">
        <v>27696492</v>
      </c>
      <c r="D47" s="13">
        <v>7640000</v>
      </c>
      <c r="E47" s="13">
        <v>9409618</v>
      </c>
      <c r="F47" s="13">
        <v>11520000</v>
      </c>
      <c r="G47" s="13">
        <v>17200</v>
      </c>
      <c r="H47" s="13">
        <v>21349</v>
      </c>
      <c r="I47" s="13">
        <v>27300</v>
      </c>
    </row>
    <row r="48" spans="1:9" x14ac:dyDescent="0.25">
      <c r="A48" s="12" t="s">
        <v>87</v>
      </c>
      <c r="B48" s="12">
        <v>2017</v>
      </c>
      <c r="C48" s="13">
        <v>28569440</v>
      </c>
      <c r="D48" s="13">
        <v>7498000</v>
      </c>
      <c r="E48" s="13">
        <v>9395822</v>
      </c>
      <c r="F48" s="13">
        <v>11560000</v>
      </c>
      <c r="G48" s="13">
        <v>15900</v>
      </c>
      <c r="H48" s="13">
        <v>20199</v>
      </c>
      <c r="I48" s="13">
        <v>26700</v>
      </c>
    </row>
    <row r="49" spans="1:9" x14ac:dyDescent="0.25">
      <c r="A49" s="12" t="s">
        <v>87</v>
      </c>
      <c r="B49" s="12">
        <v>2018</v>
      </c>
      <c r="C49" s="13">
        <v>29423878</v>
      </c>
      <c r="D49" s="13">
        <v>7507000</v>
      </c>
      <c r="E49" s="13">
        <v>9471126</v>
      </c>
      <c r="F49" s="13">
        <v>11740000</v>
      </c>
      <c r="G49" s="13">
        <v>14900</v>
      </c>
      <c r="H49" s="13">
        <v>19387</v>
      </c>
      <c r="I49" s="13">
        <v>26400</v>
      </c>
    </row>
    <row r="50" spans="1:9" x14ac:dyDescent="0.25">
      <c r="A50" s="12" t="s">
        <v>87</v>
      </c>
      <c r="B50" s="12">
        <v>2019</v>
      </c>
      <c r="C50" s="13">
        <v>30285596</v>
      </c>
      <c r="D50" s="13">
        <v>7319000</v>
      </c>
      <c r="E50" s="13">
        <v>9395404</v>
      </c>
      <c r="F50" s="13">
        <v>11940000</v>
      </c>
      <c r="G50" s="13">
        <v>13900</v>
      </c>
      <c r="H50" s="13">
        <v>18473</v>
      </c>
      <c r="I50" s="13">
        <v>25900</v>
      </c>
    </row>
    <row r="51" spans="1:9" x14ac:dyDescent="0.25">
      <c r="A51" s="12" t="s">
        <v>87</v>
      </c>
      <c r="B51" s="12">
        <v>2020</v>
      </c>
      <c r="C51" s="13">
        <v>31178240</v>
      </c>
      <c r="D51" s="13">
        <v>7572000</v>
      </c>
      <c r="E51" s="13">
        <v>9817892</v>
      </c>
      <c r="F51" s="13">
        <v>12440000</v>
      </c>
      <c r="G51" s="13">
        <v>14000</v>
      </c>
      <c r="H51" s="13">
        <v>22785</v>
      </c>
      <c r="I51" s="13">
        <v>38900</v>
      </c>
    </row>
    <row r="52" spans="1:9" x14ac:dyDescent="0.25">
      <c r="A52" s="12" t="s">
        <v>87</v>
      </c>
      <c r="B52" s="12">
        <v>2021</v>
      </c>
      <c r="C52" s="13">
        <v>32077072</v>
      </c>
      <c r="D52" s="13">
        <v>7674000</v>
      </c>
      <c r="E52" s="13">
        <v>10132564</v>
      </c>
      <c r="F52" s="13">
        <v>13190000</v>
      </c>
      <c r="G52" s="13">
        <v>13500</v>
      </c>
      <c r="H52" s="13">
        <v>21660</v>
      </c>
      <c r="I52" s="13">
        <v>36700</v>
      </c>
    </row>
    <row r="53" spans="1:9" x14ac:dyDescent="0.25">
      <c r="A53" s="12" t="s">
        <v>87</v>
      </c>
      <c r="B53" s="12">
        <v>2022</v>
      </c>
      <c r="C53" s="13">
        <v>32969518</v>
      </c>
      <c r="D53" s="13">
        <v>7900000</v>
      </c>
      <c r="E53" s="13">
        <v>10442873</v>
      </c>
      <c r="F53" s="13">
        <v>13480000</v>
      </c>
      <c r="G53" s="13">
        <v>13200</v>
      </c>
      <c r="H53" s="13">
        <v>21551</v>
      </c>
      <c r="I53" s="13">
        <v>37400</v>
      </c>
    </row>
    <row r="54" spans="1:9" x14ac:dyDescent="0.25">
      <c r="A54" s="12" t="s">
        <v>17</v>
      </c>
      <c r="B54" s="12">
        <v>2000</v>
      </c>
      <c r="C54" s="13">
        <v>122851984</v>
      </c>
      <c r="D54" s="13">
        <v>39480000</v>
      </c>
      <c r="E54" s="13">
        <v>50779020</v>
      </c>
      <c r="F54" s="13">
        <v>64300000</v>
      </c>
      <c r="G54" s="13">
        <v>214000</v>
      </c>
      <c r="H54" s="13">
        <v>226141</v>
      </c>
      <c r="I54" s="13">
        <v>239000</v>
      </c>
    </row>
    <row r="55" spans="1:9" x14ac:dyDescent="0.25">
      <c r="A55" s="12" t="s">
        <v>87</v>
      </c>
      <c r="B55" s="12">
        <v>2001</v>
      </c>
      <c r="C55" s="13">
        <v>126152680</v>
      </c>
      <c r="D55" s="13">
        <v>39830000</v>
      </c>
      <c r="E55" s="13">
        <v>51229713</v>
      </c>
      <c r="F55" s="13">
        <v>65120000</v>
      </c>
      <c r="G55" s="13">
        <v>214000</v>
      </c>
      <c r="H55" s="13">
        <v>226474</v>
      </c>
      <c r="I55" s="13">
        <v>240000</v>
      </c>
    </row>
    <row r="56" spans="1:9" x14ac:dyDescent="0.25">
      <c r="A56" s="12" t="s">
        <v>87</v>
      </c>
      <c r="B56" s="12">
        <v>2002</v>
      </c>
      <c r="C56" s="13">
        <v>129583024</v>
      </c>
      <c r="D56" s="13">
        <v>39530000</v>
      </c>
      <c r="E56" s="13">
        <v>50952482</v>
      </c>
      <c r="F56" s="13">
        <v>64780000</v>
      </c>
      <c r="G56" s="13">
        <v>218000</v>
      </c>
      <c r="H56" s="13">
        <v>230536</v>
      </c>
      <c r="I56" s="13">
        <v>244000</v>
      </c>
    </row>
    <row r="57" spans="1:9" x14ac:dyDescent="0.25">
      <c r="A57" s="12" t="s">
        <v>87</v>
      </c>
      <c r="B57" s="12">
        <v>2003</v>
      </c>
      <c r="C57" s="13">
        <v>133119800</v>
      </c>
      <c r="D57" s="13">
        <v>40940000</v>
      </c>
      <c r="E57" s="13">
        <v>52423482</v>
      </c>
      <c r="F57" s="13">
        <v>66420000</v>
      </c>
      <c r="G57" s="13">
        <v>195000</v>
      </c>
      <c r="H57" s="13">
        <v>206117</v>
      </c>
      <c r="I57" s="13">
        <v>219000</v>
      </c>
    </row>
    <row r="58" spans="1:9" x14ac:dyDescent="0.25">
      <c r="A58" s="12" t="s">
        <v>87</v>
      </c>
      <c r="B58" s="12">
        <v>2004</v>
      </c>
      <c r="C58" s="13">
        <v>136756848</v>
      </c>
      <c r="D58" s="13">
        <v>43690000</v>
      </c>
      <c r="E58" s="13">
        <v>55028747</v>
      </c>
      <c r="F58" s="13">
        <v>68160000</v>
      </c>
      <c r="G58" s="13">
        <v>214000</v>
      </c>
      <c r="H58" s="13">
        <v>226915</v>
      </c>
      <c r="I58" s="13">
        <v>241000</v>
      </c>
    </row>
    <row r="59" spans="1:9" x14ac:dyDescent="0.25">
      <c r="A59" s="12" t="s">
        <v>87</v>
      </c>
      <c r="B59" s="12">
        <v>2005</v>
      </c>
      <c r="C59" s="13">
        <v>140490720</v>
      </c>
      <c r="D59" s="13">
        <v>46230000</v>
      </c>
      <c r="E59" s="13">
        <v>57411916</v>
      </c>
      <c r="F59" s="13">
        <v>70620000</v>
      </c>
      <c r="G59" s="13">
        <v>199000</v>
      </c>
      <c r="H59" s="13">
        <v>210532</v>
      </c>
      <c r="I59" s="13">
        <v>223000</v>
      </c>
    </row>
    <row r="60" spans="1:9" x14ac:dyDescent="0.25">
      <c r="A60" s="12" t="s">
        <v>87</v>
      </c>
      <c r="B60" s="12">
        <v>2006</v>
      </c>
      <c r="C60" s="13">
        <v>144329760</v>
      </c>
      <c r="D60" s="13">
        <v>47900000</v>
      </c>
      <c r="E60" s="13">
        <v>59418382</v>
      </c>
      <c r="F60" s="13">
        <v>72790000</v>
      </c>
      <c r="G60" s="13">
        <v>225000</v>
      </c>
      <c r="H60" s="13">
        <v>238957</v>
      </c>
      <c r="I60" s="13">
        <v>254000</v>
      </c>
    </row>
    <row r="61" spans="1:9" x14ac:dyDescent="0.25">
      <c r="A61" s="12" t="s">
        <v>87</v>
      </c>
      <c r="B61" s="12">
        <v>2007</v>
      </c>
      <c r="C61" s="13">
        <v>148294032</v>
      </c>
      <c r="D61" s="13">
        <v>49660000</v>
      </c>
      <c r="E61" s="13">
        <v>61400329</v>
      </c>
      <c r="F61" s="13">
        <v>75070000</v>
      </c>
      <c r="G61" s="13">
        <v>218000</v>
      </c>
      <c r="H61" s="13">
        <v>232522</v>
      </c>
      <c r="I61" s="13">
        <v>248000</v>
      </c>
    </row>
    <row r="62" spans="1:9" x14ac:dyDescent="0.25">
      <c r="A62" s="12" t="s">
        <v>87</v>
      </c>
      <c r="B62" s="12">
        <v>2008</v>
      </c>
      <c r="C62" s="13">
        <v>152382512</v>
      </c>
      <c r="D62" s="13">
        <v>51780000</v>
      </c>
      <c r="E62" s="13">
        <v>63355538</v>
      </c>
      <c r="F62" s="13">
        <v>76750000</v>
      </c>
      <c r="G62" s="13">
        <v>207000</v>
      </c>
      <c r="H62" s="13">
        <v>221776</v>
      </c>
      <c r="I62" s="13">
        <v>237000</v>
      </c>
    </row>
    <row r="63" spans="1:9" x14ac:dyDescent="0.25">
      <c r="A63" s="12" t="s">
        <v>87</v>
      </c>
      <c r="B63" s="12">
        <v>2009</v>
      </c>
      <c r="C63" s="13">
        <v>156595760</v>
      </c>
      <c r="D63" s="13">
        <v>51800000</v>
      </c>
      <c r="E63" s="13">
        <v>63192869</v>
      </c>
      <c r="F63" s="13">
        <v>76430000</v>
      </c>
      <c r="G63" s="13">
        <v>204000</v>
      </c>
      <c r="H63" s="13">
        <v>219213</v>
      </c>
      <c r="I63" s="13">
        <v>235000</v>
      </c>
    </row>
    <row r="64" spans="1:9" x14ac:dyDescent="0.25">
      <c r="A64" s="12" t="s">
        <v>87</v>
      </c>
      <c r="B64" s="12">
        <v>2010</v>
      </c>
      <c r="C64" s="13">
        <v>160952848</v>
      </c>
      <c r="D64" s="13">
        <v>49030000</v>
      </c>
      <c r="E64" s="13">
        <v>60551056</v>
      </c>
      <c r="F64" s="13">
        <v>73900000</v>
      </c>
      <c r="G64" s="13">
        <v>185000</v>
      </c>
      <c r="H64" s="13">
        <v>199791</v>
      </c>
      <c r="I64" s="13">
        <v>215000</v>
      </c>
    </row>
    <row r="65" spans="1:9" x14ac:dyDescent="0.25">
      <c r="A65" s="12" t="s">
        <v>87</v>
      </c>
      <c r="B65" s="12">
        <v>2011</v>
      </c>
      <c r="C65" s="13">
        <v>165463744</v>
      </c>
      <c r="D65" s="13">
        <v>46920000</v>
      </c>
      <c r="E65" s="13">
        <v>58184509</v>
      </c>
      <c r="F65" s="13">
        <v>71320000</v>
      </c>
      <c r="G65" s="13">
        <v>169000</v>
      </c>
      <c r="H65" s="13">
        <v>184442</v>
      </c>
      <c r="I65" s="13">
        <v>200000</v>
      </c>
    </row>
    <row r="66" spans="1:9" x14ac:dyDescent="0.25">
      <c r="A66" s="12" t="s">
        <v>87</v>
      </c>
      <c r="B66" s="12">
        <v>2012</v>
      </c>
      <c r="C66" s="13">
        <v>170075936</v>
      </c>
      <c r="D66" s="13">
        <v>44970000</v>
      </c>
      <c r="E66" s="13">
        <v>55718235</v>
      </c>
      <c r="F66" s="13">
        <v>68540000</v>
      </c>
      <c r="G66" s="13">
        <v>157000</v>
      </c>
      <c r="H66" s="13">
        <v>172613</v>
      </c>
      <c r="I66" s="13">
        <v>189000</v>
      </c>
    </row>
    <row r="67" spans="1:9" x14ac:dyDescent="0.25">
      <c r="A67" s="12" t="s">
        <v>87</v>
      </c>
      <c r="B67" s="12">
        <v>2013</v>
      </c>
      <c r="C67" s="13">
        <v>174726128</v>
      </c>
      <c r="D67" s="13">
        <v>43380000</v>
      </c>
      <c r="E67" s="13">
        <v>53921321</v>
      </c>
      <c r="F67" s="13">
        <v>66320000</v>
      </c>
      <c r="G67" s="13">
        <v>148000</v>
      </c>
      <c r="H67" s="13">
        <v>164531</v>
      </c>
      <c r="I67" s="13">
        <v>182000</v>
      </c>
    </row>
    <row r="68" spans="1:9" x14ac:dyDescent="0.25">
      <c r="A68" s="12" t="s">
        <v>87</v>
      </c>
      <c r="B68" s="12">
        <v>2014</v>
      </c>
      <c r="C68" s="13">
        <v>179379008</v>
      </c>
      <c r="D68" s="13">
        <v>42810000</v>
      </c>
      <c r="E68" s="13">
        <v>53483458</v>
      </c>
      <c r="F68" s="13">
        <v>65930000</v>
      </c>
      <c r="G68" s="13">
        <v>148000</v>
      </c>
      <c r="H68" s="13">
        <v>166324</v>
      </c>
      <c r="I68" s="13">
        <v>187000</v>
      </c>
    </row>
    <row r="69" spans="1:9" x14ac:dyDescent="0.25">
      <c r="A69" s="12" t="s">
        <v>87</v>
      </c>
      <c r="B69" s="12">
        <v>2015</v>
      </c>
      <c r="C69" s="13">
        <v>183995792</v>
      </c>
      <c r="D69" s="13">
        <v>43300000</v>
      </c>
      <c r="E69" s="13">
        <v>54115123</v>
      </c>
      <c r="F69" s="13">
        <v>67110000</v>
      </c>
      <c r="G69" s="13">
        <v>149000</v>
      </c>
      <c r="H69" s="13">
        <v>169299</v>
      </c>
      <c r="I69" s="13">
        <v>195000</v>
      </c>
    </row>
    <row r="70" spans="1:9" x14ac:dyDescent="0.25">
      <c r="A70" s="12" t="s">
        <v>87</v>
      </c>
      <c r="B70" s="12">
        <v>2016</v>
      </c>
      <c r="C70" s="13">
        <v>188666928</v>
      </c>
      <c r="D70" s="13">
        <v>44060000</v>
      </c>
      <c r="E70" s="13">
        <v>55667334</v>
      </c>
      <c r="F70" s="13">
        <v>69130000</v>
      </c>
      <c r="G70" s="13">
        <v>149000</v>
      </c>
      <c r="H70" s="13">
        <v>172102</v>
      </c>
      <c r="I70" s="13">
        <v>201000</v>
      </c>
    </row>
    <row r="71" spans="1:9" x14ac:dyDescent="0.25">
      <c r="A71" s="12" t="s">
        <v>87</v>
      </c>
      <c r="B71" s="12">
        <v>2017</v>
      </c>
      <c r="C71" s="13">
        <v>193495904</v>
      </c>
      <c r="D71" s="13">
        <v>45870000</v>
      </c>
      <c r="E71" s="13">
        <v>57869533</v>
      </c>
      <c r="F71" s="13">
        <v>72050000</v>
      </c>
      <c r="G71" s="13">
        <v>151000</v>
      </c>
      <c r="H71" s="13">
        <v>177197</v>
      </c>
      <c r="I71" s="13">
        <v>212000</v>
      </c>
    </row>
    <row r="72" spans="1:9" x14ac:dyDescent="0.25">
      <c r="A72" s="12" t="s">
        <v>87</v>
      </c>
      <c r="B72" s="12">
        <v>2018</v>
      </c>
      <c r="C72" s="13">
        <v>198387616</v>
      </c>
      <c r="D72" s="13">
        <v>46930000</v>
      </c>
      <c r="E72" s="13">
        <v>59652248</v>
      </c>
      <c r="F72" s="13">
        <v>75230000</v>
      </c>
      <c r="G72" s="13">
        <v>151000</v>
      </c>
      <c r="H72" s="13">
        <v>180605</v>
      </c>
      <c r="I72" s="13">
        <v>223000</v>
      </c>
    </row>
    <row r="73" spans="1:9" x14ac:dyDescent="0.25">
      <c r="A73" s="12" t="s">
        <v>87</v>
      </c>
      <c r="B73" s="12">
        <v>2019</v>
      </c>
      <c r="C73" s="13">
        <v>203304496</v>
      </c>
      <c r="D73" s="13">
        <v>47440000</v>
      </c>
      <c r="E73" s="13">
        <v>61379283</v>
      </c>
      <c r="F73" s="13">
        <v>78810000</v>
      </c>
      <c r="G73" s="13">
        <v>147000</v>
      </c>
      <c r="H73" s="13">
        <v>181437</v>
      </c>
      <c r="I73" s="13">
        <v>230000</v>
      </c>
    </row>
    <row r="74" spans="1:9" x14ac:dyDescent="0.25">
      <c r="A74" s="12" t="s">
        <v>87</v>
      </c>
      <c r="B74" s="12">
        <v>2020</v>
      </c>
      <c r="C74" s="13">
        <v>208327408</v>
      </c>
      <c r="D74" s="13">
        <v>46800000</v>
      </c>
      <c r="E74" s="13">
        <v>65133759</v>
      </c>
      <c r="F74" s="13">
        <v>88650000</v>
      </c>
      <c r="G74" s="13">
        <v>155000</v>
      </c>
      <c r="H74" s="13">
        <v>200154</v>
      </c>
      <c r="I74" s="13">
        <v>267000</v>
      </c>
    </row>
    <row r="75" spans="1:9" x14ac:dyDescent="0.25">
      <c r="A75" s="12" t="s">
        <v>87</v>
      </c>
      <c r="B75" s="12">
        <v>2021</v>
      </c>
      <c r="C75" s="13">
        <v>213401328</v>
      </c>
      <c r="D75" s="13">
        <v>47520000</v>
      </c>
      <c r="E75" s="13">
        <v>65399501</v>
      </c>
      <c r="F75" s="13">
        <v>89000000</v>
      </c>
      <c r="G75" s="13">
        <v>147000</v>
      </c>
      <c r="H75" s="13">
        <v>191241</v>
      </c>
      <c r="I75" s="13">
        <v>256000</v>
      </c>
    </row>
    <row r="76" spans="1:9" x14ac:dyDescent="0.25">
      <c r="A76" s="12" t="s">
        <v>87</v>
      </c>
      <c r="B76" s="12">
        <v>2022</v>
      </c>
      <c r="C76" s="13">
        <v>218541216</v>
      </c>
      <c r="D76" s="13">
        <v>48080000</v>
      </c>
      <c r="E76" s="13">
        <v>66721582</v>
      </c>
      <c r="F76" s="13">
        <v>89900000</v>
      </c>
      <c r="G76" s="13">
        <v>142000</v>
      </c>
      <c r="H76" s="13">
        <v>189321</v>
      </c>
      <c r="I76" s="13">
        <v>261000</v>
      </c>
    </row>
  </sheetData>
  <mergeCells count="5">
    <mergeCell ref="A1:I1"/>
    <mergeCell ref="B6:B7"/>
    <mergeCell ref="C6:C7"/>
    <mergeCell ref="D6:F6"/>
    <mergeCell ref="G6:I6"/>
  </mergeCells>
  <conditionalFormatting sqref="B4:C4">
    <cfRule type="expression" dxfId="0" priority="1" stopIfTrue="1">
      <formula>$A4&lt;&gt;""</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DD2F8-5278-4103-AE8D-A05569EF68DF}">
  <sheetPr codeName="Sheet7"/>
  <dimension ref="A1:D18"/>
  <sheetViews>
    <sheetView workbookViewId="0">
      <selection activeCell="C14" sqref="C14"/>
    </sheetView>
  </sheetViews>
  <sheetFormatPr defaultRowHeight="15" x14ac:dyDescent="0.25"/>
  <cols>
    <col min="1" max="1" width="18" customWidth="1"/>
    <col min="2" max="2" width="17.85546875" customWidth="1"/>
    <col min="3" max="3" width="27.28515625" bestFit="1" customWidth="1"/>
    <col min="4" max="4" width="8.28515625" bestFit="1" customWidth="1"/>
  </cols>
  <sheetData>
    <row r="1" spans="1:4" ht="18.75" thickBot="1" x14ac:dyDescent="0.3">
      <c r="A1" s="179"/>
      <c r="B1" s="179"/>
      <c r="C1" s="180" t="s">
        <v>462</v>
      </c>
      <c r="D1" s="179"/>
    </row>
    <row r="2" spans="1:4" ht="15.75" thickBot="1" x14ac:dyDescent="0.3">
      <c r="A2" s="181" t="s">
        <v>376</v>
      </c>
      <c r="B2" s="182" t="s">
        <v>4</v>
      </c>
      <c r="C2" s="182" t="s">
        <v>7</v>
      </c>
      <c r="D2" s="182" t="s">
        <v>17</v>
      </c>
    </row>
    <row r="3" spans="1:4" ht="16.5" thickBot="1" x14ac:dyDescent="0.3">
      <c r="A3" s="181" t="s">
        <v>463</v>
      </c>
      <c r="B3" s="183" t="s">
        <v>190</v>
      </c>
      <c r="C3" s="184" t="s">
        <v>464</v>
      </c>
      <c r="D3" s="183" t="s">
        <v>190</v>
      </c>
    </row>
    <row r="4" spans="1:4" ht="16.5" thickBot="1" x14ac:dyDescent="0.3">
      <c r="A4" s="181" t="s">
        <v>465</v>
      </c>
      <c r="B4" s="183" t="s">
        <v>190</v>
      </c>
      <c r="C4" s="183" t="s">
        <v>190</v>
      </c>
      <c r="D4" s="183" t="s">
        <v>190</v>
      </c>
    </row>
    <row r="5" spans="1:4" ht="30" thickBot="1" x14ac:dyDescent="0.3">
      <c r="A5" s="181" t="s">
        <v>466</v>
      </c>
      <c r="B5" s="183" t="s">
        <v>190</v>
      </c>
      <c r="C5" s="183" t="s">
        <v>190</v>
      </c>
      <c r="D5" s="183" t="s">
        <v>190</v>
      </c>
    </row>
    <row r="6" spans="1:4" ht="30" thickBot="1" x14ac:dyDescent="0.3">
      <c r="A6" s="181" t="s">
        <v>467</v>
      </c>
      <c r="B6" s="179">
        <v>2023</v>
      </c>
      <c r="C6" s="179">
        <v>2023</v>
      </c>
      <c r="D6" s="179">
        <v>2021</v>
      </c>
    </row>
    <row r="7" spans="1:4" ht="15.75" thickBot="1" x14ac:dyDescent="0.3">
      <c r="A7" s="181" t="s">
        <v>468</v>
      </c>
      <c r="B7" s="185"/>
      <c r="C7" s="185"/>
      <c r="D7" s="185"/>
    </row>
    <row r="8" spans="1:4" ht="15.75" thickBot="1" x14ac:dyDescent="0.3">
      <c r="A8" s="181" t="s">
        <v>469</v>
      </c>
      <c r="B8" s="185"/>
      <c r="C8" s="185"/>
      <c r="D8" s="185"/>
    </row>
    <row r="9" spans="1:4" ht="30" thickBot="1" x14ac:dyDescent="0.3">
      <c r="A9" s="181" t="s">
        <v>470</v>
      </c>
      <c r="B9" s="185"/>
      <c r="C9" s="185"/>
      <c r="D9" s="185"/>
    </row>
    <row r="10" spans="1:4" ht="15.75" thickBot="1" x14ac:dyDescent="0.3">
      <c r="A10" s="181" t="s">
        <v>471</v>
      </c>
      <c r="B10" s="185"/>
      <c r="C10" s="185"/>
      <c r="D10" s="185"/>
    </row>
    <row r="11" spans="1:4" ht="15.75" thickBot="1" x14ac:dyDescent="0.3">
      <c r="A11" s="179"/>
      <c r="B11" s="186" t="s">
        <v>472</v>
      </c>
      <c r="C11" s="186" t="s">
        <v>472</v>
      </c>
      <c r="D11" s="186" t="s">
        <v>472</v>
      </c>
    </row>
    <row r="12" spans="1:4" ht="15.75" thickBot="1" x14ac:dyDescent="0.3">
      <c r="A12" s="179"/>
      <c r="B12" s="186" t="s">
        <v>473</v>
      </c>
      <c r="C12" s="186" t="s">
        <v>473</v>
      </c>
      <c r="D12" s="186" t="s">
        <v>473</v>
      </c>
    </row>
    <row r="13" spans="1:4" ht="15.75" thickBot="1" x14ac:dyDescent="0.3">
      <c r="A13" s="179"/>
      <c r="B13" s="186" t="s">
        <v>463</v>
      </c>
      <c r="C13" s="186" t="s">
        <v>463</v>
      </c>
      <c r="D13" s="186" t="s">
        <v>463</v>
      </c>
    </row>
    <row r="14" spans="1:4" ht="27" thickBot="1" x14ac:dyDescent="0.3">
      <c r="A14" s="179"/>
      <c r="B14" s="179" t="s">
        <v>474</v>
      </c>
      <c r="C14" s="186" t="s">
        <v>475</v>
      </c>
      <c r="D14" s="186" t="s">
        <v>475</v>
      </c>
    </row>
    <row r="15" spans="1:4" ht="15.75" thickBot="1" x14ac:dyDescent="0.3">
      <c r="A15" s="179"/>
      <c r="B15" s="186" t="s">
        <v>476</v>
      </c>
      <c r="C15" s="179"/>
      <c r="D15" s="179"/>
    </row>
    <row r="16" spans="1:4" ht="15.75" thickBot="1" x14ac:dyDescent="0.3">
      <c r="A16" s="179"/>
      <c r="B16" s="179"/>
      <c r="C16" s="179"/>
      <c r="D16" s="179"/>
    </row>
    <row r="17" spans="1:4" ht="15.75" thickBot="1" x14ac:dyDescent="0.3">
      <c r="A17" s="179"/>
      <c r="B17" s="179"/>
      <c r="C17" s="179"/>
      <c r="D17" s="179"/>
    </row>
    <row r="18" spans="1:4" ht="15.75" thickBot="1" x14ac:dyDescent="0.3">
      <c r="A18" s="179"/>
      <c r="B18" s="179"/>
      <c r="C18" s="179"/>
      <c r="D18" s="179"/>
    </row>
  </sheetData>
  <hyperlinks>
    <hyperlink ref="B11" r:id="rId1" display="https://www.dhsprogram.com/Countries/Country-Main.cfm?ctry_id=50" xr:uid="{27E98CBD-648D-46EC-A781-9F5E935F33F6}"/>
    <hyperlink ref="C11" r:id="rId2" display="https://www.dhsprogram.com/Countries/Country-Main.cfm?ctry_id=61" xr:uid="{CDEC4909-6E88-4A8D-BE31-5D24E1BEF904}"/>
    <hyperlink ref="D11" r:id="rId3" display="https://www.dhsprogram.com/Countries/Country-Main.cfm?ctry_id=30" xr:uid="{986ED3A4-35F9-4407-89DA-350406B7D572}"/>
    <hyperlink ref="B12" r:id="rId4" display="https://www.pmi.gov/fy-2024-burkina-faso-mop/" xr:uid="{DCB0B121-7B16-4404-B621-4F8C5498A520}"/>
    <hyperlink ref="C12" r:id="rId5" display="https://www.pmi.gov/fy-2024-mozambique-mop-1/" xr:uid="{11F84263-1CC2-4EBC-8027-A7FDFDAECBC8}"/>
    <hyperlink ref="D12" r:id="rId6" display="https://www.pmi.gov/fy-2024-nigeria-mop/" xr:uid="{1219BD68-C0D0-4A43-B793-A79F6B616E6E}"/>
    <hyperlink ref="B13" r:id="rId7" display="https://drive.google.com/file/d/1d2OgeKJQFcbhP9wUZsA_CPQaIXXCbJpd/view?usp=drive_link" xr:uid="{B0FB7CF7-8F0E-4512-ABD8-E762D4CB182F}"/>
    <hyperlink ref="C13" r:id="rId8" display="https://drive.google.com/file/d/1pwltiFoG4WESYsBspG4SR4nTJyyrmaE_/view?usp=drive_link" xr:uid="{F11A3F56-7B57-4E30-844F-21663C89CF7D}"/>
    <hyperlink ref="D13" r:id="rId9" display="https://drive.google.com/file/d/11LPmPTyprG3LP5XcSKCwDAJ9II2wYIR7/view?usp=drive_link" xr:uid="{59374ADF-DA64-430B-9B66-7BA76FED2351}"/>
    <hyperlink ref="C14" r:id="rId10" display="https://drive.google.com/file/d/1_qfr-xuowp4cPTpSH28I695BYzwLDtKe/view?usp=drive_link" xr:uid="{7D732C4B-5543-4F10-8677-2BEBC2E0F2DE}"/>
    <hyperlink ref="D14" r:id="rId11" display="https://drive.google.com/file/d/1Yw29kPMZOB346oP4U8AmxUqoBAuRW9PN/view?usp=drive_link" xr:uid="{C82746D2-D502-41EB-B6B6-9EB01ECAB0F3}"/>
    <hyperlink ref="B15" r:id="rId12" display="https://journals.plos.org/plosone/article?id=10.1371/journal.pone.0290233" xr:uid="{BD0EFDEF-B76C-41DA-BE8A-675A1264736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summaries</vt:lpstr>
      <vt:lpstr>Burkina</vt:lpstr>
      <vt:lpstr>Mozambique</vt:lpstr>
      <vt:lpstr>Nigeria</vt:lpstr>
      <vt:lpstr>wmr-workbook1</vt:lpstr>
      <vt:lpstr>wmr-workbook2</vt:lpstr>
      <vt:lpstr>source tracking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Herieth Alexander</dc:creator>
  <cp:lastModifiedBy>Herieth Alexander</cp:lastModifiedBy>
  <dcterms:created xsi:type="dcterms:W3CDTF">2024-12-16T09:18:15Z</dcterms:created>
  <dcterms:modified xsi:type="dcterms:W3CDTF">2025-02-12T11:34:50Z</dcterms:modified>
</cp:coreProperties>
</file>